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xj477\Documents\GitHub\BergAndSorensen2026_CE\data\raw\krausmann2009\"/>
    </mc:Choice>
  </mc:AlternateContent>
  <xr:revisionPtr revIDLastSave="0" documentId="8_{095553A0-9E31-470B-A20F-8EFD52C2A8C4}" xr6:coauthVersionLast="47" xr6:coauthVersionMax="47" xr10:uidLastSave="{00000000-0000-0000-0000-000000000000}"/>
  <bookViews>
    <workbookView xWindow="-90" yWindow="-90" windowWidth="19380" windowHeight="11460" xr2:uid="{C90D7964-F39E-4DA6-B4E9-BE4AED79E605}"/>
  </bookViews>
  <sheets>
    <sheet name="Introduction" sheetId="2" r:id="rId1"/>
    <sheet name="Material flow data" sheetId="9" r:id="rId2"/>
    <sheet name="Energy flow data" sheetId="13" r:id="rId3"/>
    <sheet name="Figure 2 " sheetId="12" r:id="rId4"/>
    <sheet name="Technical notes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13" l="1"/>
  <c r="G118" i="13"/>
  <c r="G119" i="13"/>
  <c r="G120" i="13"/>
  <c r="R116" i="9"/>
  <c r="R117" i="9"/>
  <c r="R118" i="9"/>
  <c r="R119" i="9"/>
  <c r="F116" i="9"/>
  <c r="F117" i="9"/>
  <c r="F118" i="9"/>
  <c r="F119" i="9"/>
  <c r="L116" i="9"/>
  <c r="L117" i="9"/>
  <c r="L118" i="9"/>
  <c r="L119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0" i="9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" i="13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0" i="9"/>
</calcChain>
</file>

<file path=xl/sharedStrings.xml><?xml version="1.0" encoding="utf-8"?>
<sst xmlns="http://schemas.openxmlformats.org/spreadsheetml/2006/main" count="117" uniqueCount="85">
  <si>
    <t>Project:</t>
  </si>
  <si>
    <t>Url:</t>
  </si>
  <si>
    <t xml:space="preserve">Source: </t>
  </si>
  <si>
    <t>http://www.uni-klu.ac.at/socec/inhalt/1088.htm</t>
  </si>
  <si>
    <t>Austria</t>
  </si>
  <si>
    <t>Content:</t>
  </si>
  <si>
    <t>Contact:</t>
  </si>
  <si>
    <t>Fridolin Krausmann</t>
  </si>
  <si>
    <t>Institute of Social Ecology</t>
  </si>
  <si>
    <t>Schottenfeldgasse 29</t>
  </si>
  <si>
    <t>A-1070 Vienna</t>
  </si>
  <si>
    <t>fridolin.krausmann@uni-klu.ac.at</t>
  </si>
  <si>
    <t>For questions please contact:</t>
  </si>
  <si>
    <t>Biomass</t>
  </si>
  <si>
    <t>1000 t</t>
  </si>
  <si>
    <t>Construction minerals</t>
  </si>
  <si>
    <t>Technical notes</t>
  </si>
  <si>
    <t>t/cap/yr</t>
  </si>
  <si>
    <t>Alpen Adria Universität Klagenfurt-Graz-Wien</t>
  </si>
  <si>
    <t>GLOMETRA: The global metabolic transition (Austrian Science Fund FWF)</t>
  </si>
  <si>
    <r>
      <t>Krausmann, F., Gingrich, S., Eisenmenger, N., Erb, K.H., Haberl, H., Fischer-Kowalski, M.</t>
    </r>
    <r>
      <rPr>
        <b/>
        <sz val="10"/>
        <rFont val="Verdana"/>
        <family val="2"/>
      </rPr>
      <t/>
    </r>
  </si>
  <si>
    <t>Growth in global materials use, GDP and population during the 20th century.</t>
  </si>
  <si>
    <t>Year</t>
  </si>
  <si>
    <t>Fossil energy carriers</t>
  </si>
  <si>
    <t>Ores and industrial minerals</t>
  </si>
  <si>
    <t xml:space="preserve">Total </t>
  </si>
  <si>
    <t>Methods and sources: see technical notes and Krausmann et al. 2009</t>
  </si>
  <si>
    <t>a) metabolic scale</t>
  </si>
  <si>
    <t>Total</t>
  </si>
  <si>
    <t>b) metabolic rate*</t>
  </si>
  <si>
    <t>c) material intensity**</t>
  </si>
  <si>
    <t>*metabolic rate was calculated using data on global population derived from Maddison 2008</t>
  </si>
  <si>
    <t>**material intensity was calculated using data on global GDP in 1990 international Dollars provided by Maddison 2008</t>
  </si>
  <si>
    <t>kg/1990 intl.$</t>
  </si>
  <si>
    <t>Unit: a) 1000 metric tonnes; b) tonnes per capita and year; c) kg per 1990 intl. $</t>
  </si>
  <si>
    <t>Maddison,A., 2008. Historical Statistics for the World Economy:  1-2006 AD. http://www.ggdc.net/maddison/ (accessed 01/2009)</t>
  </si>
  <si>
    <t>GJ/cap/yr</t>
  </si>
  <si>
    <t>TPES (Total Primary Energy Supply) per capita</t>
  </si>
  <si>
    <t>DMC per capita</t>
  </si>
  <si>
    <t>per capita flows</t>
  </si>
  <si>
    <t>TPES (Total Primary Energy Supply) per unit of GDP</t>
  </si>
  <si>
    <t>DMC per unit of GDP</t>
  </si>
  <si>
    <t>MJ per 1990 intl.$</t>
  </si>
  <si>
    <t>kg per 1990 intl.$</t>
  </si>
  <si>
    <t>Energy and material intensity</t>
  </si>
  <si>
    <t>fig. 2b</t>
  </si>
  <si>
    <t>Population</t>
  </si>
  <si>
    <t>Development of material use, material intensity, population and GDP; indexed (1900 = 1)</t>
  </si>
  <si>
    <t>GDP (1990 international Geary-Khamis Dollars)</t>
  </si>
  <si>
    <t>DMC (t)</t>
  </si>
  <si>
    <t>DMC per capita (t/cap/yr)</t>
  </si>
  <si>
    <t>Material intensity (t DMC/$ GDP)</t>
  </si>
  <si>
    <t>Income (GDP/cap/yr)</t>
  </si>
  <si>
    <t>fig 2a***</t>
  </si>
  <si>
    <t>***population and GDP in 1990 international Geary-Khamis Dollars based on Maddison 2008</t>
  </si>
  <si>
    <t>GDP</t>
  </si>
  <si>
    <t>Material flow data</t>
  </si>
  <si>
    <t xml:space="preserve">Figure 2a: </t>
  </si>
  <si>
    <t xml:space="preserve">Figure 2b: </t>
  </si>
  <si>
    <t>Figure 2c:</t>
  </si>
  <si>
    <t>Material and energy use per capita: DMC and TPES per capita and year</t>
  </si>
  <si>
    <t>Material and energy intensity: DMC and TPES per unit of GDP</t>
  </si>
  <si>
    <t>fig. 2c</t>
  </si>
  <si>
    <t>Coal</t>
  </si>
  <si>
    <t>Oil</t>
  </si>
  <si>
    <t>Natural Gas</t>
  </si>
  <si>
    <t>Biofuels</t>
  </si>
  <si>
    <t>EJ</t>
  </si>
  <si>
    <t>Unit: Exajoule (EJ)</t>
  </si>
  <si>
    <t>TPES</t>
  </si>
  <si>
    <t xml:space="preserve">Sources: </t>
  </si>
  <si>
    <t>Energy flow data</t>
  </si>
  <si>
    <t>Data for Figure 2</t>
  </si>
  <si>
    <t>Ecological Economics 2009, Vol.68(10), 2696-2705</t>
  </si>
  <si>
    <t>Hydro-, nuclear- and geothermal electricity</t>
  </si>
  <si>
    <t>Coal, Oil, Natural Gas and Hydro-, nuclear- and Geothermal electricity from 1900 to 1997 based on Podobnik 1999</t>
  </si>
  <si>
    <t>metabolic scale (TPES)</t>
  </si>
  <si>
    <t>Version 1.2 (August 2011), including data 1900-2009</t>
  </si>
  <si>
    <t>Growth in global materials use, GDP and population during the 20th century (update 2011)</t>
  </si>
  <si>
    <t>Data used in Figure 2 of Krausmann et al. 2009 (updated data)</t>
  </si>
  <si>
    <t>Biofuels 1900 to 2009 based on Fernandes et al. 2007; IEA 2011</t>
  </si>
  <si>
    <t>Coal, Oil, Natural Gas and Hydro-, nuclear- and Geothermal electricity from 1998 to 2009 based on IEA 2011</t>
  </si>
  <si>
    <t>Global total primary energy supply (TPES) 1900 to 2009</t>
  </si>
  <si>
    <t>Maddison,A., 2008. Historical Statistics for the World Economy:  1-2006 AD. http://www.ggdc.net/maddison/ (accessed 08/2011)</t>
  </si>
  <si>
    <t>Global materials extraction by main material groups 1900 to 2009: a) metabolic scale: total flows; b) metabolic rate: material extraction per capita and year; c) material intensity: material extraction per unit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</si>
</sst>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1" formatCode="_-* #,##0_-;\-* #,##0_-;_-* &quot;-&quot;??_-;_-@_-"/>
    <numFmt numFmtId="172" formatCode="_-* #,##0.0_-;\-* #,##0.0_-;_-* &quot;-&quot;??_-;_-@_-"/>
  </numFmts>
  <fonts count="15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b/>
      <sz val="18"/>
      <name val="Arial Narrow"/>
      <family val="2"/>
    </font>
    <font>
      <u/>
      <sz val="10"/>
      <color indexed="12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name val="Verdana"/>
      <family val="2"/>
    </font>
    <font>
      <b/>
      <sz val="10"/>
      <name val="Times New Roman"/>
      <family val="1"/>
    </font>
    <font>
      <b/>
      <sz val="9"/>
      <name val="Arial"/>
      <family val="2"/>
    </font>
    <font>
      <sz val="10"/>
      <name val="Times New Roman"/>
      <family val="1"/>
    </font>
    <font>
      <sz val="10"/>
      <name val="Arial"/>
    </font>
    <font>
      <u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1" applyFont="1"/>
    <xf numFmtId="0" fontId="5" fillId="0" borderId="0" xfId="1" applyFont="1"/>
    <xf numFmtId="0" fontId="2" fillId="0" borderId="0" xfId="1" applyFont="1"/>
    <xf numFmtId="0" fontId="6" fillId="0" borderId="0" xfId="3" applyAlignment="1" applyProtection="1"/>
    <xf numFmtId="0" fontId="0" fillId="0" borderId="0" xfId="1" applyFont="1" applyFill="1"/>
    <xf numFmtId="0" fontId="1" fillId="0" borderId="0" xfId="3" applyFont="1" applyAlignment="1" applyProtection="1"/>
    <xf numFmtId="172" fontId="0" fillId="0" borderId="0" xfId="1" applyNumberFormat="1" applyFont="1"/>
    <xf numFmtId="172" fontId="0" fillId="0" borderId="0" xfId="2" applyNumberFormat="1" applyFont="1"/>
    <xf numFmtId="0" fontId="6" fillId="0" borderId="0" xfId="3" applyBorder="1" applyAlignment="1" applyProtection="1"/>
    <xf numFmtId="0" fontId="6" fillId="0" borderId="0" xfId="3" applyFill="1" applyAlignment="1" applyProtection="1"/>
    <xf numFmtId="0" fontId="8" fillId="0" borderId="0" xfId="1" applyFont="1" applyFill="1"/>
    <xf numFmtId="0" fontId="0" fillId="0" borderId="0" xfId="1" applyFont="1" applyBorder="1"/>
    <xf numFmtId="171" fontId="2" fillId="0" borderId="0" xfId="2" applyNumberFormat="1" applyFont="1" applyFill="1"/>
    <xf numFmtId="1" fontId="2" fillId="0" borderId="0" xfId="1" applyNumberFormat="1" applyFont="1" applyFill="1"/>
    <xf numFmtId="0" fontId="2" fillId="0" borderId="0" xfId="1" applyFont="1" applyFill="1" applyBorder="1"/>
    <xf numFmtId="0" fontId="7" fillId="0" borderId="0" xfId="1" applyFont="1" applyFill="1" applyBorder="1"/>
    <xf numFmtId="171" fontId="3" fillId="2" borderId="0" xfId="2" applyNumberFormat="1" applyFont="1" applyFill="1"/>
    <xf numFmtId="172" fontId="3" fillId="3" borderId="0" xfId="2" applyNumberFormat="1" applyFont="1" applyFill="1"/>
    <xf numFmtId="172" fontId="3" fillId="3" borderId="0" xfId="2" applyNumberFormat="1" applyFont="1" applyFill="1" applyBorder="1"/>
    <xf numFmtId="172" fontId="3" fillId="4" borderId="0" xfId="2" applyNumberFormat="1" applyFont="1" applyFill="1"/>
    <xf numFmtId="172" fontId="3" fillId="4" borderId="0" xfId="2" applyNumberFormat="1" applyFont="1" applyFill="1" applyBorder="1"/>
    <xf numFmtId="0" fontId="3" fillId="4" borderId="0" xfId="1" applyFont="1" applyFill="1" applyBorder="1"/>
    <xf numFmtId="172" fontId="2" fillId="0" borderId="0" xfId="2" applyNumberFormat="1" applyFont="1" applyFill="1" applyBorder="1"/>
    <xf numFmtId="1" fontId="3" fillId="0" borderId="0" xfId="1" applyNumberFormat="1" applyFont="1" applyFill="1"/>
    <xf numFmtId="0" fontId="10" fillId="0" borderId="0" xfId="1" applyFont="1" applyAlignment="1"/>
    <xf numFmtId="0" fontId="1" fillId="0" borderId="0" xfId="1" applyFont="1"/>
    <xf numFmtId="172" fontId="12" fillId="0" borderId="0" xfId="2" applyNumberFormat="1" applyFont="1" applyFill="1" applyBorder="1" applyAlignment="1">
      <alignment horizontal="center"/>
    </xf>
    <xf numFmtId="10" fontId="0" fillId="0" borderId="0" xfId="4" applyNumberFormat="1" applyFont="1"/>
    <xf numFmtId="172" fontId="2" fillId="0" borderId="0" xfId="2" applyNumberFormat="1" applyFont="1" applyBorder="1"/>
    <xf numFmtId="172" fontId="3" fillId="5" borderId="0" xfId="2" applyNumberFormat="1" applyFont="1" applyFill="1"/>
    <xf numFmtId="0" fontId="3" fillId="5" borderId="0" xfId="1" applyFont="1" applyFill="1"/>
    <xf numFmtId="171" fontId="11" fillId="5" borderId="0" xfId="2" applyNumberFormat="1" applyFont="1" applyFill="1" applyBorder="1" applyAlignment="1">
      <alignment horizontal="left"/>
    </xf>
    <xf numFmtId="172" fontId="0" fillId="0" borderId="0" xfId="2" applyNumberFormat="1" applyFont="1" applyFill="1"/>
    <xf numFmtId="0" fontId="8" fillId="0" borderId="0" xfId="1" applyFont="1"/>
    <xf numFmtId="1" fontId="8" fillId="0" borderId="0" xfId="1" applyNumberFormat="1" applyFont="1" applyFill="1"/>
    <xf numFmtId="172" fontId="8" fillId="0" borderId="0" xfId="2" applyNumberFormat="1" applyFont="1" applyFill="1"/>
    <xf numFmtId="0" fontId="1" fillId="0" borderId="0" xfId="1" applyFont="1" applyFill="1"/>
    <xf numFmtId="171" fontId="0" fillId="0" borderId="0" xfId="2" applyNumberFormat="1" applyFont="1"/>
    <xf numFmtId="172" fontId="3" fillId="2" borderId="0" xfId="2" applyNumberFormat="1" applyFont="1" applyFill="1"/>
    <xf numFmtId="171" fontId="8" fillId="0" borderId="0" xfId="2" applyNumberFormat="1" applyFont="1" applyFill="1"/>
    <xf numFmtId="172" fontId="8" fillId="0" borderId="0" xfId="2" applyNumberFormat="1" applyFont="1"/>
    <xf numFmtId="172" fontId="1" fillId="0" borderId="0" xfId="2" applyNumberFormat="1" applyFont="1"/>
    <xf numFmtId="0" fontId="14" fillId="0" borderId="0" xfId="3" applyFont="1" applyBorder="1" applyAlignment="1" applyProtection="1"/>
  </cellXfs>
  <cellStyles count="5">
    <cellStyle name="ANCLAS,REZONES Y SUS PARTES,DE FUNDICION,DE HIERRO O DE ACERO" xfId="1" xr:uid="{81DD4825-E7EC-4557-B660-99134860CE9A}"/>
    <cellStyle name="Comma" xfId="2" builtinId="3"/>
    <cellStyle name="Hyperlink" xfId="3" builtinId="8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2-4B9D-9A1C-FF68D9217D5B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2-4B9D-9A1C-FF68D9217D5B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2-4B9D-9A1C-FF68D9217D5B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2-4B9D-9A1C-FF68D9217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0729535"/>
        <c:axId val="1"/>
      </c:barChart>
      <c:catAx>
        <c:axId val="8907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890729535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6-45A9-83FB-C5692306EBB1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6-45A9-83FB-C5692306EBB1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6-45A9-83FB-C5692306E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727215"/>
        <c:axId val="1"/>
      </c:barChart>
      <c:catAx>
        <c:axId val="890727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890727215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8-49B0-8D84-D770239FBA37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8-49B0-8D84-D770239FBA37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58-49B0-8D84-D770239FBA37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58-49B0-8D84-D770239FB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9058351"/>
        <c:axId val="1"/>
      </c:barChart>
      <c:catAx>
        <c:axId val="1029058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[t/ha]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029058351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B-433E-A0DE-F1B29EB893AC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B-433E-A0DE-F1B29EB893AC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B-433E-A0DE-F1B29EB893AC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8B-433E-A0DE-F1B29EB8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9060207"/>
        <c:axId val="1"/>
      </c:barChart>
      <c:catAx>
        <c:axId val="1029060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[t/$]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029060207"/>
        <c:crosses val="autoZero"/>
        <c:crossBetween val="between"/>
        <c:maj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3210397501898895"/>
          <c:y val="5.6234785961837612E-2"/>
          <c:w val="0.38272066358824736"/>
          <c:h val="0.88753162191943713"/>
        </c:manualLayout>
      </c:layout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D-4DB6-AA48-42AD974CC049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D-4DB6-AA48-42AD974CC049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D-4DB6-AA48-42AD974CC049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CD-4DB6-AA48-42AD974CC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9058815"/>
        <c:axId val="1"/>
      </c:barChart>
      <c:catAx>
        <c:axId val="102905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layout>
            <c:manualLayout>
              <c:xMode val="edge"/>
              <c:yMode val="edge"/>
              <c:x val="0.20987913547843556"/>
              <c:y val="0.4792180114176375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029058815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319536946587394"/>
          <c:y val="0.73783282704120556"/>
          <c:w val="0.26338593050883174"/>
          <c:h val="8.71330207448444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8-4E4A-A3E9-EA0C46BBEFDA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8-4E4A-A3E9-EA0C46BBEFDA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48-4E4A-A3E9-EA0C46BBEFDA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48-4E4A-A3E9-EA0C46BBE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7420687"/>
        <c:axId val="1"/>
      </c:barChart>
      <c:catAx>
        <c:axId val="937420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937420687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7-4DD7-B221-4E104E0CFBF8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7-4DD7-B221-4E104E0CFBF8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57-4DD7-B221-4E104E0CF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102095"/>
        <c:axId val="1"/>
      </c:barChart>
      <c:catAx>
        <c:axId val="938102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938102095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A-4FEA-B92B-5C709BC6DDE6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A-4FEA-B92B-5C709BC6DDE6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5A-4FEA-B92B-5C709BC6DDE6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5A-4FEA-B92B-5C709BC6D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8097455"/>
        <c:axId val="1"/>
      </c:barChart>
      <c:catAx>
        <c:axId val="93809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[t/ha]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938097455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A-4B60-9BE9-3C2D9651E03E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A-4B60-9BE9-3C2D9651E03E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A-4B60-9BE9-3C2D9651E03E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A-4B60-9BE9-3C2D9651E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520623"/>
        <c:axId val="1"/>
      </c:barChart>
      <c:catAx>
        <c:axId val="939520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[t/$]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939520623"/>
        <c:crosses val="autoZero"/>
        <c:crossBetween val="between"/>
        <c:maj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3210397501898895"/>
          <c:y val="5.8679776655830553E-2"/>
          <c:w val="0.38272066358824736"/>
          <c:h val="0.88753162191943713"/>
        </c:manualLayout>
      </c:layout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3-426B-846F-52190C5DE9BF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3-426B-846F-52190C5DE9BF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3-426B-846F-52190C5DE9BF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23-426B-846F-52190C5DE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522479"/>
        <c:axId val="1"/>
      </c:barChart>
      <c:catAx>
        <c:axId val="939522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layout>
            <c:manualLayout>
              <c:xMode val="edge"/>
              <c:yMode val="edge"/>
              <c:x val="0.20987913547843556"/>
              <c:y val="0.4816631733982892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939522479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319536946587394"/>
          <c:y val="0.74023098357546735"/>
          <c:w val="0.26338593050883174"/>
          <c:h val="8.71330207448444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4-43C4-B9E6-F6C45CB34E39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4-43C4-B9E6-F6C45CB34E39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4-43C4-B9E6-F6C45CB34E39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4-43C4-B9E6-F6C45CB3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7596831"/>
        <c:axId val="1"/>
      </c:barChart>
      <c:catAx>
        <c:axId val="1027596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027596831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6-40EE-8665-FE7E94F7C9D9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6-40EE-8665-FE7E94F7C9D9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6-40EE-8665-FE7E94F7C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601007"/>
        <c:axId val="1"/>
      </c:barChart>
      <c:catAx>
        <c:axId val="1027601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027601007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1-4C8C-A100-C83638CE61B8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1-4C8C-A100-C83638CE61B8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1-4C8C-A100-C83638CE61B8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C1-4C8C-A100-C83638CE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7602863"/>
        <c:axId val="1"/>
      </c:barChart>
      <c:catAx>
        <c:axId val="1027602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[t/ha]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027602863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6-4915-B9E5-9FC9B19FE59F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6-4915-B9E5-9FC9B19FE59F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6-4915-B9E5-9FC9B19FE59F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6-4915-B9E5-9FC9B19F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7222303"/>
        <c:axId val="1"/>
      </c:barChart>
      <c:catAx>
        <c:axId val="93722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[t/$]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937222303"/>
        <c:crosses val="autoZero"/>
        <c:crossBetween val="between"/>
        <c:majorUnit val="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3210397501898895"/>
          <c:y val="5.8679776655830553E-2"/>
          <c:w val="0.38272066358824736"/>
          <c:h val="0.88753162191943713"/>
        </c:manualLayout>
      </c:layout>
      <c:barChart>
        <c:barDir val="col"/>
        <c:grouping val="stacked"/>
        <c:varyColors val="0"/>
        <c:ser>
          <c:idx val="0"/>
          <c:order val="0"/>
          <c:tx>
            <c:v>'Material flow data'!#REF!</c:v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6-482B-B47B-C06780DCFADD}"/>
            </c:ext>
          </c:extLst>
        </c:ser>
        <c:ser>
          <c:idx val="1"/>
          <c:order val="1"/>
          <c:tx>
            <c:v>'Material flow data'!#REF!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6-482B-B47B-C06780DCFADD}"/>
            </c:ext>
          </c:extLst>
        </c:ser>
        <c:ser>
          <c:idx val="2"/>
          <c:order val="2"/>
          <c:tx>
            <c:v>'Material flow data'!#REF!</c:v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6-482B-B47B-C06780DCFADD}"/>
            </c:ext>
          </c:extLst>
        </c:ser>
        <c:ser>
          <c:idx val="3"/>
          <c:order val="3"/>
          <c:tx>
            <c:v>'Material flow data'!#REF!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'Material flow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6-482B-B47B-C06780DC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7219519"/>
        <c:axId val="1"/>
      </c:barChart>
      <c:catAx>
        <c:axId val="937219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[t/cap]</a:t>
                </a:r>
              </a:p>
            </c:rich>
          </c:tx>
          <c:layout>
            <c:manualLayout>
              <c:xMode val="edge"/>
              <c:yMode val="edge"/>
              <c:x val="0.20987913547843556"/>
              <c:y val="0.4816631733982892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937219519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319536946587394"/>
          <c:y val="0.74198461778485625"/>
          <c:w val="0.26338593050883174"/>
          <c:h val="8.54929422183396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0</xdr:row>
      <xdr:rowOff>57150</xdr:rowOff>
    </xdr:from>
    <xdr:to>
      <xdr:col>13</xdr:col>
      <xdr:colOff>1057275</xdr:colOff>
      <xdr:row>5</xdr:row>
      <xdr:rowOff>127000</xdr:rowOff>
    </xdr:to>
    <xdr:pic>
      <xdr:nvPicPr>
        <xdr:cNvPr id="2060" name="Picture 1" descr="iff-logo-brief150dpi">
          <a:extLst>
            <a:ext uri="{FF2B5EF4-FFF2-40B4-BE49-F238E27FC236}">
              <a16:creationId xmlns:a16="http://schemas.microsoft.com/office/drawing/2014/main" id="{EBAF95DE-A47F-1503-A440-EBAF2996E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9850" y="57150"/>
          <a:ext cx="28225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0</xdr:colOff>
      <xdr:row>24</xdr:row>
      <xdr:rowOff>0</xdr:rowOff>
    </xdr:from>
    <xdr:to>
      <xdr:col>131</xdr:col>
      <xdr:colOff>0</xdr:colOff>
      <xdr:row>48</xdr:row>
      <xdr:rowOff>0</xdr:rowOff>
    </xdr:to>
    <xdr:graphicFrame macro="">
      <xdr:nvGraphicFramePr>
        <xdr:cNvPr id="7224" name="Diagramm 1">
          <a:extLst>
            <a:ext uri="{FF2B5EF4-FFF2-40B4-BE49-F238E27FC236}">
              <a16:creationId xmlns:a16="http://schemas.microsoft.com/office/drawing/2014/main" id="{5571D2CC-D1E2-32FA-868B-F41A9965C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131</xdr:col>
      <xdr:colOff>0</xdr:colOff>
      <xdr:row>97</xdr:row>
      <xdr:rowOff>0</xdr:rowOff>
    </xdr:from>
    <xdr:to>
      <xdr:col>131</xdr:col>
      <xdr:colOff>0</xdr:colOff>
      <xdr:row>115</xdr:row>
      <xdr:rowOff>0</xdr:rowOff>
    </xdr:to>
    <xdr:graphicFrame macro="">
      <xdr:nvGraphicFramePr>
        <xdr:cNvPr id="7225" name="Diagramm 4">
          <a:extLst>
            <a:ext uri="{FF2B5EF4-FFF2-40B4-BE49-F238E27FC236}">
              <a16:creationId xmlns:a16="http://schemas.microsoft.com/office/drawing/2014/main" id="{DAC5D21B-C33F-6B03-199D-3BA9067B4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131</xdr:col>
      <xdr:colOff>0</xdr:colOff>
      <xdr:row>45</xdr:row>
      <xdr:rowOff>0</xdr:rowOff>
    </xdr:from>
    <xdr:to>
      <xdr:col>131</xdr:col>
      <xdr:colOff>0</xdr:colOff>
      <xdr:row>69</xdr:row>
      <xdr:rowOff>9525</xdr:rowOff>
    </xdr:to>
    <xdr:graphicFrame macro="">
      <xdr:nvGraphicFramePr>
        <xdr:cNvPr id="7226" name="Diagramm 5">
          <a:extLst>
            <a:ext uri="{FF2B5EF4-FFF2-40B4-BE49-F238E27FC236}">
              <a16:creationId xmlns:a16="http://schemas.microsoft.com/office/drawing/2014/main" id="{BDFAF089-584D-0019-CD60-5BC8794F2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131</xdr:col>
      <xdr:colOff>0</xdr:colOff>
      <xdr:row>71</xdr:row>
      <xdr:rowOff>0</xdr:rowOff>
    </xdr:from>
    <xdr:to>
      <xdr:col>131</xdr:col>
      <xdr:colOff>0</xdr:colOff>
      <xdr:row>95</xdr:row>
      <xdr:rowOff>19050</xdr:rowOff>
    </xdr:to>
    <xdr:graphicFrame macro="">
      <xdr:nvGraphicFramePr>
        <xdr:cNvPr id="7227" name="Diagramm 6">
          <a:extLst>
            <a:ext uri="{FF2B5EF4-FFF2-40B4-BE49-F238E27FC236}">
              <a16:creationId xmlns:a16="http://schemas.microsoft.com/office/drawing/2014/main" id="{9DBB3661-A7B3-5683-7DC5-61EACC9A1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131</xdr:col>
      <xdr:colOff>0</xdr:colOff>
      <xdr:row>24</xdr:row>
      <xdr:rowOff>0</xdr:rowOff>
    </xdr:from>
    <xdr:to>
      <xdr:col>132</xdr:col>
      <xdr:colOff>9525</xdr:colOff>
      <xdr:row>48</xdr:row>
      <xdr:rowOff>9525</xdr:rowOff>
    </xdr:to>
    <xdr:graphicFrame macro="">
      <xdr:nvGraphicFramePr>
        <xdr:cNvPr id="7228" name="Diagramm 7">
          <a:extLst>
            <a:ext uri="{FF2B5EF4-FFF2-40B4-BE49-F238E27FC236}">
              <a16:creationId xmlns:a16="http://schemas.microsoft.com/office/drawing/2014/main" id="{6854949A-2F6F-103D-3D8B-38204ECC5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0</xdr:colOff>
      <xdr:row>25</xdr:row>
      <xdr:rowOff>0</xdr:rowOff>
    </xdr:from>
    <xdr:to>
      <xdr:col>119</xdr:col>
      <xdr:colOff>0</xdr:colOff>
      <xdr:row>49</xdr:row>
      <xdr:rowOff>0</xdr:rowOff>
    </xdr:to>
    <xdr:graphicFrame macro="">
      <xdr:nvGraphicFramePr>
        <xdr:cNvPr id="11315" name="Diagramm 1">
          <a:extLst>
            <a:ext uri="{FF2B5EF4-FFF2-40B4-BE49-F238E27FC236}">
              <a16:creationId xmlns:a16="http://schemas.microsoft.com/office/drawing/2014/main" id="{95AAC63E-E1D0-6FB1-219C-ADECC0348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119</xdr:col>
      <xdr:colOff>0</xdr:colOff>
      <xdr:row>98</xdr:row>
      <xdr:rowOff>0</xdr:rowOff>
    </xdr:from>
    <xdr:to>
      <xdr:col>119</xdr:col>
      <xdr:colOff>0</xdr:colOff>
      <xdr:row>116</xdr:row>
      <xdr:rowOff>0</xdr:rowOff>
    </xdr:to>
    <xdr:graphicFrame macro="">
      <xdr:nvGraphicFramePr>
        <xdr:cNvPr id="11316" name="Diagramm 2">
          <a:extLst>
            <a:ext uri="{FF2B5EF4-FFF2-40B4-BE49-F238E27FC236}">
              <a16:creationId xmlns:a16="http://schemas.microsoft.com/office/drawing/2014/main" id="{82CB368B-24A1-5EEF-1202-4B35AB710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119</xdr:col>
      <xdr:colOff>0</xdr:colOff>
      <xdr:row>46</xdr:row>
      <xdr:rowOff>0</xdr:rowOff>
    </xdr:from>
    <xdr:to>
      <xdr:col>119</xdr:col>
      <xdr:colOff>0</xdr:colOff>
      <xdr:row>70</xdr:row>
      <xdr:rowOff>9525</xdr:rowOff>
    </xdr:to>
    <xdr:graphicFrame macro="">
      <xdr:nvGraphicFramePr>
        <xdr:cNvPr id="11317" name="Diagramm 3">
          <a:extLst>
            <a:ext uri="{FF2B5EF4-FFF2-40B4-BE49-F238E27FC236}">
              <a16:creationId xmlns:a16="http://schemas.microsoft.com/office/drawing/2014/main" id="{73921234-B5C8-A5D6-297E-C00F4C9F9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119</xdr:col>
      <xdr:colOff>0</xdr:colOff>
      <xdr:row>72</xdr:row>
      <xdr:rowOff>0</xdr:rowOff>
    </xdr:from>
    <xdr:to>
      <xdr:col>119</xdr:col>
      <xdr:colOff>0</xdr:colOff>
      <xdr:row>96</xdr:row>
      <xdr:rowOff>19050</xdr:rowOff>
    </xdr:to>
    <xdr:graphicFrame macro="">
      <xdr:nvGraphicFramePr>
        <xdr:cNvPr id="11318" name="Diagramm 4">
          <a:extLst>
            <a:ext uri="{FF2B5EF4-FFF2-40B4-BE49-F238E27FC236}">
              <a16:creationId xmlns:a16="http://schemas.microsoft.com/office/drawing/2014/main" id="{F0EFB522-FD39-4398-8F68-F313406FF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119</xdr:col>
      <xdr:colOff>0</xdr:colOff>
      <xdr:row>25</xdr:row>
      <xdr:rowOff>0</xdr:rowOff>
    </xdr:from>
    <xdr:to>
      <xdr:col>120</xdr:col>
      <xdr:colOff>9525</xdr:colOff>
      <xdr:row>49</xdr:row>
      <xdr:rowOff>9525</xdr:rowOff>
    </xdr:to>
    <xdr:graphicFrame macro="">
      <xdr:nvGraphicFramePr>
        <xdr:cNvPr id="11319" name="Diagramm 5">
          <a:extLst>
            <a:ext uri="{FF2B5EF4-FFF2-40B4-BE49-F238E27FC236}">
              <a16:creationId xmlns:a16="http://schemas.microsoft.com/office/drawing/2014/main" id="{01673510-130C-2CC7-5E98-57229C2A2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0</xdr:colOff>
      <xdr:row>25</xdr:row>
      <xdr:rowOff>0</xdr:rowOff>
    </xdr:from>
    <xdr:to>
      <xdr:col>120</xdr:col>
      <xdr:colOff>0</xdr:colOff>
      <xdr:row>49</xdr:row>
      <xdr:rowOff>0</xdr:rowOff>
    </xdr:to>
    <xdr:graphicFrame macro="">
      <xdr:nvGraphicFramePr>
        <xdr:cNvPr id="10291" name="Diagramm 1">
          <a:extLst>
            <a:ext uri="{FF2B5EF4-FFF2-40B4-BE49-F238E27FC236}">
              <a16:creationId xmlns:a16="http://schemas.microsoft.com/office/drawing/2014/main" id="{59AED1EF-E8CE-353A-D23B-CB39DD977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120</xdr:col>
      <xdr:colOff>0</xdr:colOff>
      <xdr:row>98</xdr:row>
      <xdr:rowOff>0</xdr:rowOff>
    </xdr:from>
    <xdr:to>
      <xdr:col>120</xdr:col>
      <xdr:colOff>0</xdr:colOff>
      <xdr:row>116</xdr:row>
      <xdr:rowOff>0</xdr:rowOff>
    </xdr:to>
    <xdr:graphicFrame macro="">
      <xdr:nvGraphicFramePr>
        <xdr:cNvPr id="10292" name="Diagramm 2">
          <a:extLst>
            <a:ext uri="{FF2B5EF4-FFF2-40B4-BE49-F238E27FC236}">
              <a16:creationId xmlns:a16="http://schemas.microsoft.com/office/drawing/2014/main" id="{A04EEB91-7F0A-933C-5F0E-94A8A7FDC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120</xdr:col>
      <xdr:colOff>0</xdr:colOff>
      <xdr:row>46</xdr:row>
      <xdr:rowOff>0</xdr:rowOff>
    </xdr:from>
    <xdr:to>
      <xdr:col>120</xdr:col>
      <xdr:colOff>0</xdr:colOff>
      <xdr:row>70</xdr:row>
      <xdr:rowOff>9525</xdr:rowOff>
    </xdr:to>
    <xdr:graphicFrame macro="">
      <xdr:nvGraphicFramePr>
        <xdr:cNvPr id="10293" name="Diagramm 3">
          <a:extLst>
            <a:ext uri="{FF2B5EF4-FFF2-40B4-BE49-F238E27FC236}">
              <a16:creationId xmlns:a16="http://schemas.microsoft.com/office/drawing/2014/main" id="{8EA0241F-8E8E-AB4F-228C-9114DB717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120</xdr:col>
      <xdr:colOff>0</xdr:colOff>
      <xdr:row>72</xdr:row>
      <xdr:rowOff>0</xdr:rowOff>
    </xdr:from>
    <xdr:to>
      <xdr:col>120</xdr:col>
      <xdr:colOff>0</xdr:colOff>
      <xdr:row>96</xdr:row>
      <xdr:rowOff>19050</xdr:rowOff>
    </xdr:to>
    <xdr:graphicFrame macro="">
      <xdr:nvGraphicFramePr>
        <xdr:cNvPr id="10294" name="Diagramm 4">
          <a:extLst>
            <a:ext uri="{FF2B5EF4-FFF2-40B4-BE49-F238E27FC236}">
              <a16:creationId xmlns:a16="http://schemas.microsoft.com/office/drawing/2014/main" id="{AB02EEA0-C002-4F41-C4EB-B5557CF31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120</xdr:col>
      <xdr:colOff>0</xdr:colOff>
      <xdr:row>25</xdr:row>
      <xdr:rowOff>0</xdr:rowOff>
    </xdr:from>
    <xdr:to>
      <xdr:col>121</xdr:col>
      <xdr:colOff>9525</xdr:colOff>
      <xdr:row>49</xdr:row>
      <xdr:rowOff>9525</xdr:rowOff>
    </xdr:to>
    <xdr:graphicFrame macro="">
      <xdr:nvGraphicFramePr>
        <xdr:cNvPr id="10295" name="Diagramm 5">
          <a:extLst>
            <a:ext uri="{FF2B5EF4-FFF2-40B4-BE49-F238E27FC236}">
              <a16:creationId xmlns:a16="http://schemas.microsoft.com/office/drawing/2014/main" id="{D4F0E63E-DE02-318F-B033-DAA930318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158750</xdr:colOff>
          <xdr:row>7</xdr:row>
          <xdr:rowOff>38100</xdr:rowOff>
        </xdr:to>
        <xdr:sp macro="" textlink="">
          <xdr:nvSpPr>
            <xdr:cNvPr id="8207" name="Object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7F8017DD-636E-7FC6-5FFD-D42CACE1D8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ridolin.krausmann@ubi-klu.ac.at" TargetMode="External"/><Relationship Id="rId1" Type="http://schemas.openxmlformats.org/officeDocument/2006/relationships/hyperlink" Target="http://www.uni-klu.ac.at/socec/inhalt/1088.ht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EDDE-7A83-427B-9308-2D3F419E5144}">
  <dimension ref="B11:C36"/>
  <sheetViews>
    <sheetView showGridLines="0" tabSelected="1" workbookViewId="0">
      <pane xSplit="14" ySplit="54" topLeftCell="R55" activePane="bottomRight" state="frozen"/>
      <selection pane="topRight" activeCell="O1" sqref="O1"/>
      <selection pane="bottomLeft" activeCell="A48" sqref="A48"/>
      <selection pane="bottomRight" activeCell="L23" sqref="L23"/>
    </sheetView>
  </sheetViews>
  <sheetFormatPr defaultRowHeight="13" x14ac:dyDescent="0.6"/>
  <cols>
    <col min="1" max="1" width="3.86328125" customWidth="1"/>
    <col min="2" max="2" width="9.40625" customWidth="1"/>
    <col min="3" max="11" width="10.90625" customWidth="1"/>
    <col min="12" max="12" width="13" customWidth="1"/>
    <col min="13" max="13" width="10.90625" customWidth="1"/>
    <col min="14" max="14" width="37.40625" customWidth="1"/>
    <col min="15" max="256" width="10.90625" customWidth="1"/>
  </cols>
  <sheetData>
    <row r="11" spans="2:3" ht="22.75" x14ac:dyDescent="0.95">
      <c r="C11" s="2" t="s">
        <v>78</v>
      </c>
    </row>
    <row r="12" spans="2:3" x14ac:dyDescent="0.6">
      <c r="C12" s="1" t="s">
        <v>77</v>
      </c>
    </row>
    <row r="13" spans="2:3" x14ac:dyDescent="0.6">
      <c r="C13" s="1"/>
    </row>
    <row r="14" spans="2:3" x14ac:dyDescent="0.6">
      <c r="C14" s="1"/>
    </row>
    <row r="15" spans="2:3" x14ac:dyDescent="0.6">
      <c r="B15" s="1" t="s">
        <v>0</v>
      </c>
      <c r="C15" s="3" t="s">
        <v>19</v>
      </c>
    </row>
    <row r="17" spans="2:3" x14ac:dyDescent="0.6">
      <c r="B17" s="1" t="s">
        <v>5</v>
      </c>
      <c r="C17" s="9" t="s">
        <v>56</v>
      </c>
    </row>
    <row r="18" spans="2:3" x14ac:dyDescent="0.6">
      <c r="B18" s="1"/>
      <c r="C18" s="9" t="s">
        <v>71</v>
      </c>
    </row>
    <row r="19" spans="2:3" x14ac:dyDescent="0.6">
      <c r="B19" s="1"/>
      <c r="C19" s="43" t="s">
        <v>72</v>
      </c>
    </row>
    <row r="20" spans="2:3" x14ac:dyDescent="0.6">
      <c r="C20" s="10" t="s">
        <v>16</v>
      </c>
    </row>
    <row r="22" spans="2:3" x14ac:dyDescent="0.6">
      <c r="B22" s="1" t="s">
        <v>2</v>
      </c>
      <c r="C22" s="3" t="s">
        <v>20</v>
      </c>
    </row>
    <row r="23" spans="2:3" x14ac:dyDescent="0.6">
      <c r="C23" s="3" t="s">
        <v>21</v>
      </c>
    </row>
    <row r="24" spans="2:3" x14ac:dyDescent="0.6">
      <c r="C24" s="3" t="s">
        <v>73</v>
      </c>
    </row>
    <row r="25" spans="2:3" x14ac:dyDescent="0.6">
      <c r="C25" s="4"/>
    </row>
    <row r="27" spans="2:3" x14ac:dyDescent="0.6">
      <c r="B27" s="1" t="s">
        <v>6</v>
      </c>
      <c r="C27" s="6" t="s">
        <v>12</v>
      </c>
    </row>
    <row r="28" spans="2:3" x14ac:dyDescent="0.6">
      <c r="B28" s="1"/>
      <c r="C28" s="4" t="s">
        <v>11</v>
      </c>
    </row>
    <row r="29" spans="2:3" x14ac:dyDescent="0.6">
      <c r="C29" t="s">
        <v>7</v>
      </c>
    </row>
    <row r="30" spans="2:3" x14ac:dyDescent="0.6">
      <c r="C30" t="s">
        <v>8</v>
      </c>
    </row>
    <row r="31" spans="2:3" x14ac:dyDescent="0.6">
      <c r="C31" t="s">
        <v>18</v>
      </c>
    </row>
    <row r="32" spans="2:3" x14ac:dyDescent="0.6">
      <c r="C32" t="s">
        <v>9</v>
      </c>
    </row>
    <row r="33" spans="2:3" x14ac:dyDescent="0.6">
      <c r="C33" t="s">
        <v>10</v>
      </c>
    </row>
    <row r="34" spans="2:3" x14ac:dyDescent="0.6">
      <c r="C34" t="s">
        <v>4</v>
      </c>
    </row>
    <row r="36" spans="2:3" x14ac:dyDescent="0.6">
      <c r="B36" s="1" t="s">
        <v>1</v>
      </c>
      <c r="C36" s="4" t="s">
        <v>3</v>
      </c>
    </row>
  </sheetData>
  <phoneticPr fontId="4" type="noConversion"/>
  <hyperlinks>
    <hyperlink ref="C36" r:id="rId1" xr:uid="{241321A9-D55D-4CA8-BC70-75166EB94AEA}"/>
    <hyperlink ref="C17" location="'Material flow data'!A1" display="Material flow data" xr:uid="{9AD741A4-3B68-4EA1-8318-4528F4CA7B8C}"/>
    <hyperlink ref="C28" r:id="rId2" xr:uid="{A275DB9C-2EF8-411F-B228-5D172E7DF00C}"/>
    <hyperlink ref="C20" location="'Technical notes'!A1" display="Technical notes" xr:uid="{5C0671AE-5EE1-4D63-8372-FDFD65BB48DE}"/>
    <hyperlink ref="C18" location="'Energy flow data'!A1" display="Energy flow data" xr:uid="{00410B75-11B3-4596-884B-E47BA32679DF}"/>
    <hyperlink ref="C19" location="'Figure 2 '!A1" display="Data for Figure 2" xr:uid="{C0B7A427-C4DF-4AC8-8229-0F71D44FF38C}"/>
  </hyperlinks>
  <pageMargins left="0.78740157499999996" right="0.78740157499999996" top="0.984251969" bottom="0.984251969" header="0.4921259845" footer="0.4921259845"/>
  <pageSetup paperSize="9" orientation="portrait" verticalDpi="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7637-FE2B-47F6-AC00-2EA3C773A0AD}">
  <dimension ref="A1:EG128"/>
  <sheetViews>
    <sheetView zoomScale="75" workbookViewId="0">
      <pane xSplit="1" ySplit="9" topLeftCell="B91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defaultRowHeight="13" x14ac:dyDescent="0.6"/>
  <cols>
    <col min="1" max="1" width="13.86328125" style="14" customWidth="1"/>
    <col min="2" max="3" width="14" style="13" bestFit="1" customWidth="1"/>
    <col min="4" max="4" width="13" style="13" bestFit="1" customWidth="1"/>
    <col min="5" max="6" width="14" style="13" bestFit="1" customWidth="1"/>
    <col min="7" max="7" width="10.90625" customWidth="1"/>
    <col min="8" max="11" width="11.40625" style="8" customWidth="1"/>
    <col min="12" max="13" width="10.90625" customWidth="1"/>
    <col min="14" max="14" width="11.40625" style="15" customWidth="1"/>
    <col min="15" max="15" width="12" style="15" bestFit="1" customWidth="1"/>
    <col min="16" max="256" width="10.90625" customWidth="1"/>
  </cols>
  <sheetData>
    <row r="1" spans="1:137" s="5" customFormat="1" ht="15.5" x14ac:dyDescent="0.7">
      <c r="A1" s="11" t="s">
        <v>84</v>
      </c>
      <c r="B1" s="13"/>
      <c r="C1" s="13"/>
      <c r="D1" s="13"/>
      <c r="E1" s="13"/>
      <c r="F1" s="13"/>
      <c r="H1" s="8"/>
      <c r="I1" s="8"/>
      <c r="J1" s="8"/>
      <c r="K1" s="8"/>
      <c r="N1" s="16"/>
      <c r="O1" s="16"/>
    </row>
    <row r="2" spans="1:137" s="5" customFormat="1" ht="15.5" x14ac:dyDescent="0.7">
      <c r="A2" s="11" t="s">
        <v>26</v>
      </c>
      <c r="B2" s="13"/>
      <c r="C2" s="13"/>
      <c r="D2" s="13"/>
      <c r="E2" s="13"/>
      <c r="F2" s="13"/>
      <c r="H2" s="8"/>
      <c r="I2" s="8"/>
      <c r="J2" s="8"/>
      <c r="K2" s="8"/>
      <c r="N2" s="16"/>
      <c r="O2" s="16"/>
    </row>
    <row r="3" spans="1:137" s="5" customFormat="1" ht="15.5" x14ac:dyDescent="0.7">
      <c r="A3" s="11" t="s">
        <v>34</v>
      </c>
      <c r="B3" s="13"/>
      <c r="C3" s="13"/>
      <c r="D3" s="13"/>
      <c r="E3" s="13"/>
      <c r="F3" s="13"/>
      <c r="H3" s="8"/>
      <c r="I3" s="8"/>
      <c r="J3" s="8"/>
      <c r="K3" s="8"/>
      <c r="N3" s="15"/>
      <c r="O3" s="15"/>
    </row>
    <row r="4" spans="1:137" s="5" customFormat="1" x14ac:dyDescent="0.6">
      <c r="A4" s="14"/>
      <c r="B4" s="13"/>
      <c r="C4" s="13"/>
      <c r="D4" s="13"/>
      <c r="E4" s="13"/>
      <c r="F4" s="13"/>
      <c r="H4" s="8"/>
      <c r="I4" s="8"/>
      <c r="J4" s="8"/>
      <c r="K4" s="8"/>
      <c r="N4" s="15"/>
      <c r="O4" s="15"/>
    </row>
    <row r="5" spans="1:137" s="5" customFormat="1" x14ac:dyDescent="0.6">
      <c r="B5" s="13"/>
      <c r="C5" s="13"/>
      <c r="D5" s="13"/>
      <c r="E5" s="13"/>
      <c r="F5" s="13"/>
      <c r="H5" s="8"/>
      <c r="I5" s="8"/>
      <c r="J5" s="8"/>
      <c r="K5" s="8"/>
      <c r="N5" s="15"/>
      <c r="O5" s="15"/>
    </row>
    <row r="6" spans="1:137" x14ac:dyDescent="0.6">
      <c r="G6" s="8"/>
      <c r="M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G6" s="8"/>
    </row>
    <row r="7" spans="1:137" x14ac:dyDescent="0.6">
      <c r="B7" s="17" t="s">
        <v>27</v>
      </c>
      <c r="C7" s="17"/>
      <c r="D7" s="17"/>
      <c r="E7" s="17"/>
      <c r="F7" s="17"/>
      <c r="G7" s="8"/>
      <c r="H7" s="18" t="s">
        <v>29</v>
      </c>
      <c r="I7" s="18"/>
      <c r="J7" s="18"/>
      <c r="K7" s="18"/>
      <c r="L7" s="18"/>
      <c r="M7" s="8"/>
      <c r="N7" s="22" t="s">
        <v>30</v>
      </c>
      <c r="O7" s="22"/>
      <c r="P7" s="20"/>
      <c r="Q7" s="20"/>
      <c r="R7" s="20"/>
      <c r="S7" s="20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G7" s="8"/>
    </row>
    <row r="8" spans="1:137" x14ac:dyDescent="0.6">
      <c r="B8" s="17" t="s">
        <v>14</v>
      </c>
      <c r="C8" s="17" t="s">
        <v>14</v>
      </c>
      <c r="D8" s="17" t="s">
        <v>14</v>
      </c>
      <c r="E8" s="17" t="s">
        <v>14</v>
      </c>
      <c r="F8" s="17" t="s">
        <v>14</v>
      </c>
      <c r="G8" s="8"/>
      <c r="H8" s="18" t="s">
        <v>17</v>
      </c>
      <c r="I8" s="18" t="s">
        <v>17</v>
      </c>
      <c r="J8" s="18" t="s">
        <v>17</v>
      </c>
      <c r="K8" s="18" t="s">
        <v>17</v>
      </c>
      <c r="L8" s="18" t="s">
        <v>17</v>
      </c>
      <c r="M8" s="8"/>
      <c r="N8" s="20" t="s">
        <v>33</v>
      </c>
      <c r="O8" s="20" t="s">
        <v>33</v>
      </c>
      <c r="P8" s="20" t="s">
        <v>33</v>
      </c>
      <c r="Q8" s="20" t="s">
        <v>33</v>
      </c>
      <c r="R8" s="20" t="s">
        <v>33</v>
      </c>
      <c r="S8" s="20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G8" s="8"/>
    </row>
    <row r="9" spans="1:137" x14ac:dyDescent="0.6">
      <c r="A9" s="24" t="s">
        <v>22</v>
      </c>
      <c r="B9" s="17" t="s">
        <v>13</v>
      </c>
      <c r="C9" s="17" t="s">
        <v>23</v>
      </c>
      <c r="D9" s="17" t="s">
        <v>24</v>
      </c>
      <c r="E9" s="17" t="s">
        <v>15</v>
      </c>
      <c r="F9" s="17" t="s">
        <v>25</v>
      </c>
      <c r="G9" s="8"/>
      <c r="H9" s="19" t="s">
        <v>13</v>
      </c>
      <c r="I9" s="19" t="s">
        <v>23</v>
      </c>
      <c r="J9" s="19" t="s">
        <v>24</v>
      </c>
      <c r="K9" s="19" t="s">
        <v>15</v>
      </c>
      <c r="L9" s="19" t="s">
        <v>28</v>
      </c>
      <c r="M9" s="8"/>
      <c r="N9" s="21" t="s">
        <v>13</v>
      </c>
      <c r="O9" s="21" t="s">
        <v>23</v>
      </c>
      <c r="P9" s="21" t="s">
        <v>24</v>
      </c>
      <c r="Q9" s="21" t="s">
        <v>15</v>
      </c>
      <c r="R9" s="21" t="s">
        <v>28</v>
      </c>
      <c r="S9" s="21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G9" s="8"/>
    </row>
    <row r="10" spans="1:137" x14ac:dyDescent="0.6">
      <c r="A10" s="24">
        <v>1900</v>
      </c>
      <c r="B10" s="38">
        <v>5271598.443120393</v>
      </c>
      <c r="C10" s="38">
        <v>968980.18350916274</v>
      </c>
      <c r="D10" s="38">
        <v>210779.45387311385</v>
      </c>
      <c r="E10" s="38">
        <v>666744.21101503889</v>
      </c>
      <c r="F10" s="13">
        <f>SUM(B10:E10)</f>
        <v>7118102.2915177085</v>
      </c>
      <c r="G10" s="8"/>
      <c r="H10" s="8">
        <v>3.371402067200636</v>
      </c>
      <c r="I10" s="8">
        <v>0.61970232160276761</v>
      </c>
      <c r="J10" s="8">
        <v>0.13480205182142094</v>
      </c>
      <c r="K10" s="8">
        <v>0.42641009848610401</v>
      </c>
      <c r="L10" s="7">
        <f>SUM(H10:K10)</f>
        <v>4.5523165391109286</v>
      </c>
      <c r="M10" s="8"/>
      <c r="N10" s="23">
        <v>2.6709001918819086</v>
      </c>
      <c r="O10" s="23">
        <v>0.49094205220465492</v>
      </c>
      <c r="P10" s="23">
        <v>0.1067932032131846</v>
      </c>
      <c r="Q10" s="23">
        <v>0.33781162589503194</v>
      </c>
      <c r="R10" s="23">
        <f>SUM(N10:Q10)</f>
        <v>3.6064470731947802</v>
      </c>
      <c r="S10" s="23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G10" s="8"/>
    </row>
    <row r="11" spans="1:137" x14ac:dyDescent="0.6">
      <c r="A11" s="24">
        <v>1901</v>
      </c>
      <c r="B11" s="38">
        <v>5332061.4718329851</v>
      </c>
      <c r="C11" s="38">
        <v>996132.86966273456</v>
      </c>
      <c r="D11" s="38">
        <v>217361.03956731193</v>
      </c>
      <c r="E11" s="38">
        <v>691146.46973957692</v>
      </c>
      <c r="F11" s="13">
        <f t="shared" ref="F11:F74" si="0">SUM(B11:E11)</f>
        <v>7236701.8508026088</v>
      </c>
      <c r="G11" s="8"/>
      <c r="H11" s="8">
        <v>3.3722946938749017</v>
      </c>
      <c r="I11" s="8">
        <v>0.63001028936060244</v>
      </c>
      <c r="J11" s="8">
        <v>0.13747131091044901</v>
      </c>
      <c r="K11" s="8">
        <v>0.43711978657888795</v>
      </c>
      <c r="L11" s="7">
        <f t="shared" ref="L11:L74" si="1">SUM(H11:K11)</f>
        <v>4.5768960807248416</v>
      </c>
      <c r="M11" s="8"/>
      <c r="N11" s="23">
        <v>2.6239741823324869</v>
      </c>
      <c r="O11" s="23">
        <v>0.49020945200566884</v>
      </c>
      <c r="P11" s="23">
        <v>0.10696608789724051</v>
      </c>
      <c r="Q11" s="23">
        <v>0.34012182762466409</v>
      </c>
      <c r="R11" s="23">
        <f t="shared" ref="R11:R74" si="2">SUM(N11:Q11)</f>
        <v>3.5612715498600607</v>
      </c>
      <c r="S11" s="23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G11" s="8"/>
    </row>
    <row r="12" spans="1:137" x14ac:dyDescent="0.6">
      <c r="A12" s="24">
        <v>1902</v>
      </c>
      <c r="B12" s="38">
        <v>5392524.5005455669</v>
      </c>
      <c r="C12" s="38">
        <v>1018237.6144437335</v>
      </c>
      <c r="D12" s="38">
        <v>226600.04739414476</v>
      </c>
      <c r="E12" s="38">
        <v>715627.83423917345</v>
      </c>
      <c r="F12" s="13">
        <f t="shared" si="0"/>
        <v>7352989.9966226183</v>
      </c>
      <c r="G12" s="8"/>
      <c r="H12" s="8">
        <v>3.3731677606209791</v>
      </c>
      <c r="I12" s="8">
        <v>0.6369347590995138</v>
      </c>
      <c r="J12" s="8">
        <v>0.14174436747534183</v>
      </c>
      <c r="K12" s="8">
        <v>0.44764427844776117</v>
      </c>
      <c r="L12" s="7">
        <f t="shared" si="1"/>
        <v>4.5994911656435962</v>
      </c>
      <c r="M12" s="8"/>
      <c r="N12" s="23">
        <v>2.5796674337805521</v>
      </c>
      <c r="O12" s="23">
        <v>0.48710291692975155</v>
      </c>
      <c r="P12" s="23">
        <v>0.10840057614882699</v>
      </c>
      <c r="Q12" s="23">
        <v>0.34234092371892483</v>
      </c>
      <c r="R12" s="23">
        <f t="shared" si="2"/>
        <v>3.5175118505780554</v>
      </c>
      <c r="S12" s="23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G12" s="8"/>
    </row>
    <row r="13" spans="1:137" x14ac:dyDescent="0.6">
      <c r="A13" s="24">
        <v>1903</v>
      </c>
      <c r="B13" s="38">
        <v>5452987.5292581571</v>
      </c>
      <c r="C13" s="38">
        <v>1116160.3677277651</v>
      </c>
      <c r="D13" s="38">
        <v>233434.5269697211</v>
      </c>
      <c r="E13" s="38">
        <v>740188.30451382976</v>
      </c>
      <c r="F13" s="13">
        <f t="shared" si="0"/>
        <v>7542770.7284694733</v>
      </c>
      <c r="H13" s="8">
        <v>3.3740219033896386</v>
      </c>
      <c r="I13" s="8">
        <v>0.69062133522268399</v>
      </c>
      <c r="J13" s="8">
        <v>0.1444370086631003</v>
      </c>
      <c r="K13" s="8">
        <v>0.45798959536631428</v>
      </c>
      <c r="L13" s="7">
        <f t="shared" si="1"/>
        <v>4.6670698426417374</v>
      </c>
      <c r="N13" s="23">
        <v>2.5377666020629759</v>
      </c>
      <c r="O13" s="23">
        <v>0.51945002415055996</v>
      </c>
      <c r="P13" s="23">
        <v>0.10863812600589601</v>
      </c>
      <c r="Q13" s="23">
        <v>0.34447633491807461</v>
      </c>
      <c r="R13" s="23">
        <f t="shared" si="2"/>
        <v>3.510331087137506</v>
      </c>
      <c r="S13" s="23"/>
    </row>
    <row r="14" spans="1:137" x14ac:dyDescent="0.6">
      <c r="A14" s="24">
        <v>1904</v>
      </c>
      <c r="B14" s="38">
        <v>5513450.5579707492</v>
      </c>
      <c r="C14" s="38">
        <v>1127281.163112289</v>
      </c>
      <c r="D14" s="38">
        <v>241115.94516996265</v>
      </c>
      <c r="E14" s="38">
        <v>764827.88056354306</v>
      </c>
      <c r="F14" s="13">
        <f t="shared" si="0"/>
        <v>7646675.5468165446</v>
      </c>
      <c r="G14" s="8"/>
      <c r="H14" s="8">
        <v>3.3748577308583738</v>
      </c>
      <c r="I14" s="8">
        <v>0.69002406173399333</v>
      </c>
      <c r="J14" s="8">
        <v>0.14759033440749128</v>
      </c>
      <c r="K14" s="8">
        <v>0.46816150038097293</v>
      </c>
      <c r="L14" s="7">
        <f t="shared" si="1"/>
        <v>4.680633627380832</v>
      </c>
      <c r="M14" s="8"/>
      <c r="N14" s="23">
        <v>2.4980809003279156</v>
      </c>
      <c r="O14" s="23">
        <v>0.51075810207441186</v>
      </c>
      <c r="P14" s="23">
        <v>0.10924685567785083</v>
      </c>
      <c r="Q14" s="23">
        <v>0.3465346973524458</v>
      </c>
      <c r="R14" s="23">
        <f t="shared" si="2"/>
        <v>3.4646205554326239</v>
      </c>
      <c r="S14" s="23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G14" s="8"/>
    </row>
    <row r="15" spans="1:137" x14ac:dyDescent="0.6">
      <c r="A15" s="24">
        <v>1905</v>
      </c>
      <c r="B15" s="38">
        <v>5573913.5866833329</v>
      </c>
      <c r="C15" s="38">
        <v>1190672.8806309928</v>
      </c>
      <c r="D15" s="38">
        <v>270472.60181894613</v>
      </c>
      <c r="E15" s="38">
        <v>789546.5623883151</v>
      </c>
      <c r="F15" s="13">
        <f t="shared" si="0"/>
        <v>7824605.6315215863</v>
      </c>
      <c r="G15" s="8"/>
      <c r="H15" s="8">
        <v>3.375675825877952</v>
      </c>
      <c r="I15" s="8">
        <v>0.72109579690598358</v>
      </c>
      <c r="J15" s="8">
        <v>0.1638037277262154</v>
      </c>
      <c r="K15" s="8">
        <v>0.47816551200701146</v>
      </c>
      <c r="L15" s="7">
        <f t="shared" si="1"/>
        <v>4.7387408625171625</v>
      </c>
      <c r="M15" s="8"/>
      <c r="N15" s="23">
        <v>2.4604391945219635</v>
      </c>
      <c r="O15" s="23">
        <v>0.52558730554379907</v>
      </c>
      <c r="P15" s="23">
        <v>0.1193921255165442</v>
      </c>
      <c r="Q15" s="23">
        <v>0.34852196356998466</v>
      </c>
      <c r="R15" s="23">
        <f t="shared" si="2"/>
        <v>3.4539405891522912</v>
      </c>
      <c r="S15" s="23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G15" s="8"/>
    </row>
    <row r="16" spans="1:137" x14ac:dyDescent="0.6">
      <c r="A16" s="24">
        <v>1906</v>
      </c>
      <c r="B16" s="38">
        <v>5634376.6153959241</v>
      </c>
      <c r="C16" s="38">
        <v>1282794.5591091462</v>
      </c>
      <c r="D16" s="38">
        <v>260445.95900261094</v>
      </c>
      <c r="E16" s="38">
        <v>814344.3499881468</v>
      </c>
      <c r="F16" s="13">
        <f t="shared" si="0"/>
        <v>7991961.4834958278</v>
      </c>
      <c r="G16" s="8"/>
      <c r="H16" s="8">
        <v>3.3764767468278682</v>
      </c>
      <c r="I16" s="8">
        <v>0.76873207019104817</v>
      </c>
      <c r="J16" s="8">
        <v>0.15607577987858839</v>
      </c>
      <c r="K16" s="8">
        <v>0.48800691706200744</v>
      </c>
      <c r="L16" s="7">
        <f t="shared" si="1"/>
        <v>4.7892915139595127</v>
      </c>
      <c r="M16" s="8"/>
      <c r="N16" s="23">
        <v>2.4246875363974101</v>
      </c>
      <c r="O16" s="23">
        <v>0.55203551192003397</v>
      </c>
      <c r="P16" s="23">
        <v>0.11207984730256206</v>
      </c>
      <c r="Q16" s="23">
        <v>0.35044348834554451</v>
      </c>
      <c r="R16" s="23">
        <f t="shared" si="2"/>
        <v>3.4392463839655507</v>
      </c>
      <c r="S16" s="23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G16" s="8"/>
    </row>
    <row r="17" spans="1:130" x14ac:dyDescent="0.6">
      <c r="A17" s="24">
        <v>1907</v>
      </c>
      <c r="B17" s="38">
        <v>5694839.6441085069</v>
      </c>
      <c r="C17" s="38">
        <v>1419867.289746359</v>
      </c>
      <c r="D17" s="38">
        <v>295504.66610637034</v>
      </c>
      <c r="E17" s="38">
        <v>839221.24336303573</v>
      </c>
      <c r="F17" s="13">
        <f t="shared" si="0"/>
        <v>8249432.843324272</v>
      </c>
      <c r="H17" s="8">
        <v>3.377261028887268</v>
      </c>
      <c r="I17" s="8">
        <v>0.84203643360055225</v>
      </c>
      <c r="J17" s="8">
        <v>0.17524574089243197</v>
      </c>
      <c r="K17" s="8">
        <v>0.49769078269946376</v>
      </c>
      <c r="L17" s="7">
        <f t="shared" si="1"/>
        <v>4.8922339860797166</v>
      </c>
      <c r="N17" s="23">
        <v>2.3906870590327447</v>
      </c>
      <c r="O17" s="23">
        <v>0.59605863681380256</v>
      </c>
      <c r="P17" s="23">
        <v>0.12405251513537281</v>
      </c>
      <c r="Q17" s="23">
        <v>0.35230410188089784</v>
      </c>
      <c r="R17" s="23">
        <f t="shared" si="2"/>
        <v>3.463102312862818</v>
      </c>
      <c r="S17" s="23"/>
    </row>
    <row r="18" spans="1:130" x14ac:dyDescent="0.6">
      <c r="A18" s="24">
        <v>1908</v>
      </c>
      <c r="B18" s="38">
        <v>5755302.6728210868</v>
      </c>
      <c r="C18" s="38">
        <v>1351448.097637058</v>
      </c>
      <c r="D18" s="38">
        <v>279361.02897003607</v>
      </c>
      <c r="E18" s="38">
        <v>864177.24251298339</v>
      </c>
      <c r="F18" s="13">
        <f t="shared" si="0"/>
        <v>8250289.0419411641</v>
      </c>
      <c r="G18" s="7"/>
      <c r="H18" s="8">
        <v>3.3780291852275415</v>
      </c>
      <c r="I18" s="8">
        <v>0.79322172536591806</v>
      </c>
      <c r="J18" s="8">
        <v>0.16396873678468218</v>
      </c>
      <c r="K18" s="8">
        <v>0.50722196770016259</v>
      </c>
      <c r="L18" s="7">
        <f t="shared" si="1"/>
        <v>4.8424416150783038</v>
      </c>
      <c r="M18" s="7"/>
      <c r="N18" s="23">
        <v>2.3583121742042152</v>
      </c>
      <c r="O18" s="23">
        <v>0.55377391644640583</v>
      </c>
      <c r="P18" s="23">
        <v>0.11447191452318829</v>
      </c>
      <c r="Q18" s="23">
        <v>0.3541081725054831</v>
      </c>
      <c r="R18" s="23">
        <f t="shared" si="2"/>
        <v>3.3806661776792923</v>
      </c>
      <c r="S18" s="2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</row>
    <row r="19" spans="1:130" x14ac:dyDescent="0.6">
      <c r="A19" s="24">
        <v>1909</v>
      </c>
      <c r="B19" s="38">
        <v>5815765.701533678</v>
      </c>
      <c r="C19" s="38">
        <v>1410427.4112514511</v>
      </c>
      <c r="D19" s="38">
        <v>305388.54784206254</v>
      </c>
      <c r="E19" s="38">
        <v>889212.34743798943</v>
      </c>
      <c r="F19" s="13">
        <f t="shared" si="0"/>
        <v>8420794.0080651809</v>
      </c>
      <c r="G19" s="7"/>
      <c r="H19" s="8">
        <v>3.3787817081320664</v>
      </c>
      <c r="I19" s="8">
        <v>0.81941511786276866</v>
      </c>
      <c r="J19" s="8">
        <v>0.1774213907980626</v>
      </c>
      <c r="K19" s="8">
        <v>0.51660513307411071</v>
      </c>
      <c r="L19" s="7">
        <f t="shared" si="1"/>
        <v>4.8922233498670078</v>
      </c>
      <c r="M19" s="7"/>
      <c r="N19" s="23">
        <v>2.3274490222765007</v>
      </c>
      <c r="O19" s="23">
        <v>0.56444809983378186</v>
      </c>
      <c r="P19" s="23">
        <v>0.12221542503027757</v>
      </c>
      <c r="Q19" s="23">
        <v>0.35585966059378332</v>
      </c>
      <c r="R19" s="23">
        <f t="shared" si="2"/>
        <v>3.3699722077343433</v>
      </c>
      <c r="S19" s="2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</row>
    <row r="20" spans="1:130" x14ac:dyDescent="0.6">
      <c r="A20" s="24">
        <v>1910</v>
      </c>
      <c r="B20" s="38">
        <v>5876228.7302462664</v>
      </c>
      <c r="C20" s="38">
        <v>1475666.2996717226</v>
      </c>
      <c r="D20" s="38">
        <v>327351.36611385667</v>
      </c>
      <c r="E20" s="38">
        <v>914326.55813805491</v>
      </c>
      <c r="F20" s="13">
        <f t="shared" si="0"/>
        <v>8593572.9541699011</v>
      </c>
      <c r="G20" s="7"/>
      <c r="H20" s="8">
        <v>3.3795190700482549</v>
      </c>
      <c r="I20" s="8">
        <v>0.84868078315241613</v>
      </c>
      <c r="J20" s="8">
        <v>0.18826533737425896</v>
      </c>
      <c r="K20" s="8">
        <v>0.52584475202170067</v>
      </c>
      <c r="L20" s="7">
        <f t="shared" si="1"/>
        <v>4.9423099425966299</v>
      </c>
      <c r="M20" s="7"/>
      <c r="N20" s="23">
        <v>2.2979941342845782</v>
      </c>
      <c r="O20" s="23">
        <v>0.57708313554107193</v>
      </c>
      <c r="P20" s="23">
        <v>0.12801603778758286</v>
      </c>
      <c r="Q20" s="23">
        <v>0.35756216510207256</v>
      </c>
      <c r="R20" s="23">
        <f t="shared" si="2"/>
        <v>3.3606554727153055</v>
      </c>
      <c r="S20" s="2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</row>
    <row r="21" spans="1:130" x14ac:dyDescent="0.6">
      <c r="A21" s="24">
        <v>1911</v>
      </c>
      <c r="B21" s="38">
        <v>5947307.7149444204</v>
      </c>
      <c r="C21" s="38">
        <v>1506355.4315327397</v>
      </c>
      <c r="D21" s="38">
        <v>326575.87219608272</v>
      </c>
      <c r="E21" s="38">
        <v>939519.87461317796</v>
      </c>
      <c r="F21" s="13">
        <f t="shared" si="0"/>
        <v>8719758.8932864219</v>
      </c>
      <c r="G21" s="7"/>
      <c r="H21" s="8">
        <v>3.3862862522068449</v>
      </c>
      <c r="I21" s="8">
        <v>0.85769072885176845</v>
      </c>
      <c r="J21" s="8">
        <v>0.18594621958793153</v>
      </c>
      <c r="K21" s="8">
        <v>0.53494511929881461</v>
      </c>
      <c r="L21" s="7">
        <f t="shared" si="1"/>
        <v>4.9648683199453592</v>
      </c>
      <c r="M21" s="7"/>
      <c r="N21" s="23">
        <v>2.2739122108505114</v>
      </c>
      <c r="O21" s="23">
        <v>0.57594464147804714</v>
      </c>
      <c r="P21" s="23">
        <v>0.12486403918361376</v>
      </c>
      <c r="Q21" s="23">
        <v>0.35921896387693669</v>
      </c>
      <c r="R21" s="23">
        <f t="shared" si="2"/>
        <v>3.3339398553891093</v>
      </c>
      <c r="S21" s="2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</row>
    <row r="22" spans="1:130" x14ac:dyDescent="0.6">
      <c r="A22" s="24">
        <v>1912</v>
      </c>
      <c r="B22" s="38">
        <v>6018386.6996425726</v>
      </c>
      <c r="C22" s="38">
        <v>1587211.7273310702</v>
      </c>
      <c r="D22" s="38">
        <v>364199.65345173655</v>
      </c>
      <c r="E22" s="38">
        <v>964792.29686335963</v>
      </c>
      <c r="F22" s="13">
        <f t="shared" si="0"/>
        <v>8934590.3772887401</v>
      </c>
      <c r="H22" s="8">
        <v>3.3929197892926144</v>
      </c>
      <c r="I22" s="8">
        <v>0.8948049283338223</v>
      </c>
      <c r="J22" s="8">
        <v>0.2053208398063382</v>
      </c>
      <c r="K22" s="8">
        <v>0.54391036002707771</v>
      </c>
      <c r="L22" s="7">
        <f t="shared" si="1"/>
        <v>5.0369559174598519</v>
      </c>
      <c r="N22" s="23">
        <v>2.2508811772943518</v>
      </c>
      <c r="O22" s="23">
        <v>0.59361838640952336</v>
      </c>
      <c r="P22" s="23">
        <v>0.13621094583043744</v>
      </c>
      <c r="Q22" s="23">
        <v>0.36083304868683369</v>
      </c>
      <c r="R22" s="23">
        <f t="shared" si="2"/>
        <v>3.3415435582211459</v>
      </c>
      <c r="S22" s="23"/>
    </row>
    <row r="23" spans="1:130" x14ac:dyDescent="0.6">
      <c r="A23" s="24">
        <v>1913</v>
      </c>
      <c r="B23" s="38">
        <v>6089465.6843407257</v>
      </c>
      <c r="C23" s="38">
        <v>1702043.3923933574</v>
      </c>
      <c r="D23" s="38">
        <v>398621.72019316279</v>
      </c>
      <c r="E23" s="38">
        <v>990143.82488860085</v>
      </c>
      <c r="F23" s="13">
        <f t="shared" si="0"/>
        <v>9180274.6218158454</v>
      </c>
      <c r="H23" s="8">
        <v>3.3994236016289223</v>
      </c>
      <c r="I23" s="8">
        <v>0.95015996132096636</v>
      </c>
      <c r="J23" s="8">
        <v>0.22252922571371148</v>
      </c>
      <c r="K23" s="8">
        <v>0.55274443798723116</v>
      </c>
      <c r="L23" s="7">
        <f t="shared" si="1"/>
        <v>5.124857226650831</v>
      </c>
      <c r="N23" s="23">
        <v>2.2288337141742933</v>
      </c>
      <c r="O23" s="23">
        <v>0.62297283416986859</v>
      </c>
      <c r="P23" s="23">
        <v>0.14590139352511383</v>
      </c>
      <c r="Q23" s="23">
        <v>0.36240715576544497</v>
      </c>
      <c r="R23" s="23">
        <f t="shared" si="2"/>
        <v>3.3601150976347207</v>
      </c>
      <c r="S23" s="23"/>
    </row>
    <row r="24" spans="1:130" x14ac:dyDescent="0.6">
      <c r="A24" s="24">
        <v>1914</v>
      </c>
      <c r="B24" s="38">
        <v>6160544.6690388769</v>
      </c>
      <c r="C24" s="38">
        <v>1531609.643095714</v>
      </c>
      <c r="D24" s="38">
        <v>324018.925269033</v>
      </c>
      <c r="E24" s="38">
        <v>976493.4730593256</v>
      </c>
      <c r="F24" s="13">
        <f t="shared" si="0"/>
        <v>8992666.7104629502</v>
      </c>
      <c r="H24" s="8">
        <v>3.4014252829175549</v>
      </c>
      <c r="I24" s="8">
        <v>0.84564856574587044</v>
      </c>
      <c r="J24" s="8">
        <v>0.17890076669565133</v>
      </c>
      <c r="K24" s="8">
        <v>0.53915193644495618</v>
      </c>
      <c r="L24" s="7">
        <f t="shared" si="1"/>
        <v>4.9651265518040333</v>
      </c>
      <c r="N24" s="23">
        <v>2.1982302071313531</v>
      </c>
      <c r="O24" s="23">
        <v>0.54651508330219412</v>
      </c>
      <c r="P24" s="23">
        <v>0.11561772983942144</v>
      </c>
      <c r="Q24" s="23">
        <v>0.34843630959022098</v>
      </c>
      <c r="R24" s="23">
        <f t="shared" si="2"/>
        <v>3.2087993298631901</v>
      </c>
      <c r="S24" s="23"/>
    </row>
    <row r="25" spans="1:130" x14ac:dyDescent="0.6">
      <c r="A25" s="24">
        <v>1915</v>
      </c>
      <c r="B25" s="38">
        <v>6231623.6537370291</v>
      </c>
      <c r="C25" s="38">
        <v>1516385.327413148</v>
      </c>
      <c r="D25" s="38">
        <v>333505.92402017454</v>
      </c>
      <c r="E25" s="38">
        <v>962932.73742608447</v>
      </c>
      <c r="F25" s="13">
        <f t="shared" si="0"/>
        <v>9044447.6425964367</v>
      </c>
      <c r="H25" s="8">
        <v>3.4033835797150256</v>
      </c>
      <c r="I25" s="8">
        <v>0.82816954466494574</v>
      </c>
      <c r="J25" s="8">
        <v>0.18214331426566077</v>
      </c>
      <c r="K25" s="8">
        <v>0.5259029827580588</v>
      </c>
      <c r="L25" s="7">
        <f t="shared" si="1"/>
        <v>4.93959942140369</v>
      </c>
      <c r="N25" s="23">
        <v>2.1691259664635099</v>
      </c>
      <c r="O25" s="23">
        <v>0.52782885675126079</v>
      </c>
      <c r="P25" s="23">
        <v>0.11608794111431023</v>
      </c>
      <c r="Q25" s="23">
        <v>0.33518108935479873</v>
      </c>
      <c r="R25" s="23">
        <f t="shared" si="2"/>
        <v>3.1482238536838798</v>
      </c>
      <c r="S25" s="23"/>
    </row>
    <row r="26" spans="1:130" x14ac:dyDescent="0.6">
      <c r="A26" s="24">
        <v>1916</v>
      </c>
      <c r="B26" s="38">
        <v>6302702.6384351812</v>
      </c>
      <c r="C26" s="38">
        <v>1632461.0047495749</v>
      </c>
      <c r="D26" s="38">
        <v>401485.34647373197</v>
      </c>
      <c r="E26" s="38">
        <v>949461.61798887851</v>
      </c>
      <c r="F26" s="13">
        <f t="shared" si="0"/>
        <v>9286110.6076473668</v>
      </c>
      <c r="H26" s="8">
        <v>3.4052998873747193</v>
      </c>
      <c r="I26" s="8">
        <v>0.88200564020223671</v>
      </c>
      <c r="J26" s="8">
        <v>0.21691932549574305</v>
      </c>
      <c r="K26" s="8">
        <v>0.51298652757111152</v>
      </c>
      <c r="L26" s="7">
        <f t="shared" si="1"/>
        <v>5.0172113806438112</v>
      </c>
      <c r="N26" s="23">
        <v>2.1414134527195157</v>
      </c>
      <c r="O26" s="23">
        <v>0.55464681695322349</v>
      </c>
      <c r="P26" s="23">
        <v>0.13640912023450005</v>
      </c>
      <c r="Q26" s="23">
        <v>0.32259016460707041</v>
      </c>
      <c r="R26" s="23">
        <f t="shared" si="2"/>
        <v>3.1550595545143101</v>
      </c>
      <c r="S26" s="23"/>
    </row>
    <row r="27" spans="1:130" x14ac:dyDescent="0.6">
      <c r="A27" s="24">
        <v>1917</v>
      </c>
      <c r="B27" s="38">
        <v>6373781.6231333334</v>
      </c>
      <c r="C27" s="38">
        <v>1723106.3086371315</v>
      </c>
      <c r="D27" s="38">
        <v>409877.90129336459</v>
      </c>
      <c r="E27" s="38">
        <v>936080.11474770831</v>
      </c>
      <c r="F27" s="13">
        <f t="shared" si="0"/>
        <v>9442845.9478115384</v>
      </c>
      <c r="H27" s="8">
        <v>3.407175542047332</v>
      </c>
      <c r="I27" s="8">
        <v>0.92110555683734974</v>
      </c>
      <c r="J27" s="8">
        <v>0.21910477061903386</v>
      </c>
      <c r="K27" s="8">
        <v>0.50039199033577131</v>
      </c>
      <c r="L27" s="7">
        <f t="shared" si="1"/>
        <v>5.0477778598394867</v>
      </c>
      <c r="N27" s="23">
        <v>2.114995171080789</v>
      </c>
      <c r="O27" s="23">
        <v>0.57177382871094018</v>
      </c>
      <c r="P27" s="23">
        <v>0.13600870460039918</v>
      </c>
      <c r="Q27" s="23">
        <v>0.31061699937295428</v>
      </c>
      <c r="R27" s="23">
        <f t="shared" si="2"/>
        <v>3.1333947037650827</v>
      </c>
      <c r="S27" s="23"/>
    </row>
    <row r="28" spans="1:130" x14ac:dyDescent="0.6">
      <c r="A28" s="24">
        <v>1918</v>
      </c>
      <c r="B28" s="38">
        <v>6444860.6078314865</v>
      </c>
      <c r="C28" s="38">
        <v>1697601.9432774866</v>
      </c>
      <c r="D28" s="38">
        <v>391242.2077134779</v>
      </c>
      <c r="E28" s="38">
        <v>922788.2277025712</v>
      </c>
      <c r="F28" s="13">
        <f t="shared" si="0"/>
        <v>9456492.9865250215</v>
      </c>
      <c r="H28" s="8">
        <v>3.4090118237877647</v>
      </c>
      <c r="I28" s="8">
        <v>0.89794728681730929</v>
      </c>
      <c r="J28" s="8">
        <v>0.20694773606730396</v>
      </c>
      <c r="K28" s="8">
        <v>0.48810923470828838</v>
      </c>
      <c r="L28" s="7">
        <f t="shared" si="1"/>
        <v>5.002016081380666</v>
      </c>
      <c r="N28" s="23">
        <v>2.0897825253586122</v>
      </c>
      <c r="O28" s="23">
        <v>0.55045703731205864</v>
      </c>
      <c r="P28" s="23">
        <v>0.12686250000020613</v>
      </c>
      <c r="Q28" s="23">
        <v>0.29921930514930695</v>
      </c>
      <c r="R28" s="23">
        <f t="shared" si="2"/>
        <v>3.0663213678201839</v>
      </c>
      <c r="S28" s="23"/>
    </row>
    <row r="29" spans="1:130" x14ac:dyDescent="0.6">
      <c r="A29" s="24">
        <v>1919</v>
      </c>
      <c r="B29" s="38">
        <v>6515939.5925296377</v>
      </c>
      <c r="C29" s="38">
        <v>1498754.7665190219</v>
      </c>
      <c r="D29" s="38">
        <v>319119.81905570242</v>
      </c>
      <c r="E29" s="38">
        <v>909585.9568534689</v>
      </c>
      <c r="F29" s="13">
        <f t="shared" si="0"/>
        <v>9243400.1349578314</v>
      </c>
      <c r="H29" s="8">
        <v>3.4108099594683892</v>
      </c>
      <c r="I29" s="8">
        <v>0.78453270044193535</v>
      </c>
      <c r="J29" s="8">
        <v>0.16704529586904535</v>
      </c>
      <c r="K29" s="8">
        <v>0.47612854548026334</v>
      </c>
      <c r="L29" s="7">
        <f t="shared" si="1"/>
        <v>4.8385165012596341</v>
      </c>
      <c r="N29" s="23">
        <v>2.0656948253894654</v>
      </c>
      <c r="O29" s="23">
        <v>0.47513791706657199</v>
      </c>
      <c r="P29" s="23">
        <v>0.10116793588116564</v>
      </c>
      <c r="Q29" s="23">
        <v>0.28835856711644153</v>
      </c>
      <c r="R29" s="23">
        <f t="shared" si="2"/>
        <v>2.9303592454536447</v>
      </c>
      <c r="S29" s="23"/>
    </row>
    <row r="30" spans="1:130" x14ac:dyDescent="0.6">
      <c r="A30" s="24">
        <v>1920</v>
      </c>
      <c r="B30" s="38">
        <v>6587018.5772277918</v>
      </c>
      <c r="C30" s="38">
        <v>1726054.3846500595</v>
      </c>
      <c r="D30" s="38">
        <v>338210.31473725114</v>
      </c>
      <c r="E30" s="38">
        <v>973444.13553373597</v>
      </c>
      <c r="F30" s="13">
        <f t="shared" si="0"/>
        <v>9624727.412148837</v>
      </c>
      <c r="H30" s="8">
        <v>3.4125711255126365</v>
      </c>
      <c r="I30" s="8">
        <v>0.89422601212706088</v>
      </c>
      <c r="J30" s="8">
        <v>0.17521838459860942</v>
      </c>
      <c r="K30" s="8">
        <v>0.50431728866022252</v>
      </c>
      <c r="L30" s="7">
        <f t="shared" si="1"/>
        <v>4.9863328108985288</v>
      </c>
      <c r="N30" s="23">
        <v>2.0426584243959893</v>
      </c>
      <c r="O30" s="23">
        <v>0.53525574407214138</v>
      </c>
      <c r="P30" s="23">
        <v>0.10488024901038233</v>
      </c>
      <c r="Q30" s="23">
        <v>0.30186856782233334</v>
      </c>
      <c r="R30" s="23">
        <f t="shared" si="2"/>
        <v>2.9846629853008464</v>
      </c>
      <c r="S30" s="23"/>
    </row>
    <row r="31" spans="1:130" x14ac:dyDescent="0.6">
      <c r="A31" s="24">
        <v>1921</v>
      </c>
      <c r="B31" s="38">
        <v>6658097.561925943</v>
      </c>
      <c r="C31" s="38">
        <v>1478257.5856920914</v>
      </c>
      <c r="D31" s="38">
        <v>226148.9565526662</v>
      </c>
      <c r="E31" s="38">
        <v>983648.86770082591</v>
      </c>
      <c r="F31" s="13">
        <f t="shared" si="0"/>
        <v>9346152.9718715269</v>
      </c>
      <c r="H31" s="8">
        <v>3.4142964504616717</v>
      </c>
      <c r="I31" s="8">
        <v>0.75805582311662245</v>
      </c>
      <c r="J31" s="8">
        <v>0.11597000080756213</v>
      </c>
      <c r="K31" s="8">
        <v>0.5044186881094741</v>
      </c>
      <c r="L31" s="7">
        <f t="shared" si="1"/>
        <v>4.7927409624953299</v>
      </c>
      <c r="N31" s="23">
        <v>2.0206059668844798</v>
      </c>
      <c r="O31" s="23">
        <v>0.44862305943406194</v>
      </c>
      <c r="P31" s="23">
        <v>6.8631906751879315E-2</v>
      </c>
      <c r="Q31" s="23">
        <v>0.29851872143797803</v>
      </c>
      <c r="R31" s="23">
        <f t="shared" si="2"/>
        <v>2.836379654508399</v>
      </c>
      <c r="S31" s="23"/>
    </row>
    <row r="32" spans="1:130" x14ac:dyDescent="0.6">
      <c r="A32" s="24">
        <v>1922</v>
      </c>
      <c r="B32" s="38">
        <v>6729176.5466240961</v>
      </c>
      <c r="C32" s="38">
        <v>1580525.7184628004</v>
      </c>
      <c r="D32" s="38">
        <v>312082.86825039366</v>
      </c>
      <c r="E32" s="38">
        <v>1081668.2160639502</v>
      </c>
      <c r="F32" s="13">
        <f t="shared" si="0"/>
        <v>9703453.3494012412</v>
      </c>
      <c r="H32" s="8">
        <v>3.4159870173859721</v>
      </c>
      <c r="I32" s="8">
        <v>0.80233521850785272</v>
      </c>
      <c r="J32" s="8">
        <v>0.15842518306742148</v>
      </c>
      <c r="K32" s="8">
        <v>0.54909609780519042</v>
      </c>
      <c r="L32" s="7">
        <f t="shared" si="1"/>
        <v>4.9258435167664363</v>
      </c>
      <c r="N32" s="23">
        <v>1.9994757308999194</v>
      </c>
      <c r="O32" s="23">
        <v>0.46962994569000477</v>
      </c>
      <c r="P32" s="23">
        <v>9.2730829214066238E-2</v>
      </c>
      <c r="Q32" s="23">
        <v>0.32140178399550245</v>
      </c>
      <c r="R32" s="23">
        <f t="shared" si="2"/>
        <v>2.8832382897994928</v>
      </c>
      <c r="S32" s="23"/>
    </row>
    <row r="33" spans="1:19" x14ac:dyDescent="0.6">
      <c r="A33" s="24">
        <v>1923</v>
      </c>
      <c r="B33" s="38">
        <v>6800255.5313222483</v>
      </c>
      <c r="C33" s="38">
        <v>1796576.7747732657</v>
      </c>
      <c r="D33" s="38">
        <v>395792.86820225866</v>
      </c>
      <c r="E33" s="38">
        <v>1100659.1179138988</v>
      </c>
      <c r="F33" s="13">
        <f t="shared" si="0"/>
        <v>10093284.29221167</v>
      </c>
      <c r="H33" s="8">
        <v>3.4176438661525848</v>
      </c>
      <c r="I33" s="8">
        <v>0.90291601044911995</v>
      </c>
      <c r="J33" s="8">
        <v>0.19891591750455462</v>
      </c>
      <c r="K33" s="8">
        <v>0.55316463708414931</v>
      </c>
      <c r="L33" s="7">
        <f t="shared" si="1"/>
        <v>5.0726404311904085</v>
      </c>
      <c r="N33" s="23">
        <v>1.9792110511104704</v>
      </c>
      <c r="O33" s="23">
        <v>0.52289279284013312</v>
      </c>
      <c r="P33" s="23">
        <v>0.11519532098293127</v>
      </c>
      <c r="Q33" s="23">
        <v>0.32034629870108916</v>
      </c>
      <c r="R33" s="23">
        <f t="shared" si="2"/>
        <v>2.9376454636346239</v>
      </c>
      <c r="S33" s="23"/>
    </row>
    <row r="34" spans="1:19" x14ac:dyDescent="0.6">
      <c r="A34" s="24">
        <v>1924</v>
      </c>
      <c r="B34" s="38">
        <v>6871334.5160204004</v>
      </c>
      <c r="C34" s="38">
        <v>1778382.7840695416</v>
      </c>
      <c r="D34" s="38">
        <v>420452.60466355935</v>
      </c>
      <c r="E34" s="38">
        <v>1185714.635959883</v>
      </c>
      <c r="F34" s="13">
        <f t="shared" si="0"/>
        <v>10255884.540713385</v>
      </c>
      <c r="H34" s="8">
        <v>3.4192679955580809</v>
      </c>
      <c r="I34" s="8">
        <v>0.8849470686142924</v>
      </c>
      <c r="J34" s="8">
        <v>0.20922284185456391</v>
      </c>
      <c r="K34" s="8">
        <v>0.59002746804859407</v>
      </c>
      <c r="L34" s="7">
        <f t="shared" si="1"/>
        <v>5.1034653740755314</v>
      </c>
      <c r="N34" s="23">
        <v>1.9597598113654835</v>
      </c>
      <c r="O34" s="23">
        <v>0.50720905834493379</v>
      </c>
      <c r="P34" s="23">
        <v>0.11991646095565187</v>
      </c>
      <c r="Q34" s="23">
        <v>0.33817534074120958</v>
      </c>
      <c r="R34" s="23">
        <f t="shared" si="2"/>
        <v>2.9250606714072784</v>
      </c>
      <c r="S34" s="23"/>
    </row>
    <row r="35" spans="1:19" x14ac:dyDescent="0.6">
      <c r="A35" s="24">
        <v>1925</v>
      </c>
      <c r="B35" s="38">
        <v>6942413.5007185517</v>
      </c>
      <c r="C35" s="38">
        <v>1788419.2838542608</v>
      </c>
      <c r="D35" s="38">
        <v>473301.5419521255</v>
      </c>
      <c r="E35" s="38">
        <v>1268684.7702019005</v>
      </c>
      <c r="F35" s="13">
        <f t="shared" si="0"/>
        <v>10472819.096726838</v>
      </c>
      <c r="H35" s="8">
        <v>3.4208603653363716</v>
      </c>
      <c r="I35" s="8">
        <v>0.8812400246840788</v>
      </c>
      <c r="J35" s="8">
        <v>0.23321838803595271</v>
      </c>
      <c r="K35" s="8">
        <v>0.62514188272426685</v>
      </c>
      <c r="L35" s="7">
        <f t="shared" si="1"/>
        <v>5.1604606607806707</v>
      </c>
      <c r="N35" s="23">
        <v>1.9410739971585425</v>
      </c>
      <c r="O35" s="23">
        <v>0.50003563854949096</v>
      </c>
      <c r="P35" s="23">
        <v>0.1323334191781036</v>
      </c>
      <c r="Q35" s="23">
        <v>0.35471972647193734</v>
      </c>
      <c r="R35" s="23">
        <f t="shared" si="2"/>
        <v>2.9281627813580742</v>
      </c>
      <c r="S35" s="23"/>
    </row>
    <row r="36" spans="1:19" x14ac:dyDescent="0.6">
      <c r="A36" s="24">
        <v>1926</v>
      </c>
      <c r="B36" s="38">
        <v>7013492.4854167048</v>
      </c>
      <c r="C36" s="38">
        <v>1785381.4550364322</v>
      </c>
      <c r="D36" s="38">
        <v>480853.49810103065</v>
      </c>
      <c r="E36" s="38">
        <v>1327094.5206399532</v>
      </c>
      <c r="F36" s="13">
        <f t="shared" si="0"/>
        <v>10606821.95919412</v>
      </c>
      <c r="H36" s="8">
        <v>3.4224218980498819</v>
      </c>
      <c r="I36" s="8">
        <v>0.87122480002568981</v>
      </c>
      <c r="J36" s="8">
        <v>0.234645370345339</v>
      </c>
      <c r="K36" s="8">
        <v>0.64759139011900324</v>
      </c>
      <c r="L36" s="7">
        <f t="shared" si="1"/>
        <v>5.1758834585399134</v>
      </c>
      <c r="N36" s="23">
        <v>1.9231092999041139</v>
      </c>
      <c r="O36" s="23">
        <v>0.48955405416006542</v>
      </c>
      <c r="P36" s="23">
        <v>0.13185069150816583</v>
      </c>
      <c r="Q36" s="23">
        <v>0.36389114550293139</v>
      </c>
      <c r="R36" s="23">
        <f t="shared" si="2"/>
        <v>2.9084051910752766</v>
      </c>
      <c r="S36" s="23"/>
    </row>
    <row r="37" spans="1:19" x14ac:dyDescent="0.6">
      <c r="A37" s="24">
        <v>1927</v>
      </c>
      <c r="B37" s="38">
        <v>7084571.470114857</v>
      </c>
      <c r="C37" s="38">
        <v>1905199.1831916647</v>
      </c>
      <c r="D37" s="38">
        <v>507420.72287790745</v>
      </c>
      <c r="E37" s="38">
        <v>1381968.8872740397</v>
      </c>
      <c r="F37" s="13">
        <f t="shared" si="0"/>
        <v>10879160.263458468</v>
      </c>
      <c r="H37" s="8">
        <v>3.4239534808719023</v>
      </c>
      <c r="I37" s="8">
        <v>0.92077741082307807</v>
      </c>
      <c r="J37" s="8">
        <v>0.24523500930059516</v>
      </c>
      <c r="K37" s="8">
        <v>0.66790167930395716</v>
      </c>
      <c r="L37" s="7">
        <f t="shared" si="1"/>
        <v>5.2578675802995321</v>
      </c>
      <c r="N37" s="23">
        <v>1.9058247661617822</v>
      </c>
      <c r="O37" s="23">
        <v>0.51251876039568089</v>
      </c>
      <c r="P37" s="23">
        <v>0.13650154912033829</v>
      </c>
      <c r="Q37" s="23">
        <v>0.37176426867060813</v>
      </c>
      <c r="R37" s="23">
        <f t="shared" si="2"/>
        <v>2.9266093443484094</v>
      </c>
      <c r="S37" s="23"/>
    </row>
    <row r="38" spans="1:19" x14ac:dyDescent="0.6">
      <c r="A38" s="24">
        <v>1928</v>
      </c>
      <c r="B38" s="38">
        <v>7155650.454813011</v>
      </c>
      <c r="C38" s="38">
        <v>2068369.3916779433</v>
      </c>
      <c r="D38" s="38">
        <v>546843.04931153089</v>
      </c>
      <c r="E38" s="38">
        <v>1429682.870104163</v>
      </c>
      <c r="F38" s="13">
        <f t="shared" si="0"/>
        <v>11200545.765906651</v>
      </c>
      <c r="H38" s="8">
        <v>3.4254559672673635</v>
      </c>
      <c r="I38" s="8">
        <v>0.99014175160985041</v>
      </c>
      <c r="J38" s="8">
        <v>0.26177729030390628</v>
      </c>
      <c r="K38" s="8">
        <v>0.68439839950597625</v>
      </c>
      <c r="L38" s="7">
        <f t="shared" si="1"/>
        <v>5.361773408687097</v>
      </c>
      <c r="N38" s="23">
        <v>1.8891824859625512</v>
      </c>
      <c r="O38" s="23">
        <v>0.54607575564716382</v>
      </c>
      <c r="P38" s="23">
        <v>0.14437350145224445</v>
      </c>
      <c r="Q38" s="23">
        <v>0.37745441252860046</v>
      </c>
      <c r="R38" s="23">
        <f t="shared" si="2"/>
        <v>2.9570861555905599</v>
      </c>
      <c r="S38" s="23"/>
    </row>
    <row r="39" spans="1:19" x14ac:dyDescent="0.6">
      <c r="A39" s="24">
        <v>1929</v>
      </c>
      <c r="B39" s="38">
        <v>7226729.4395111613</v>
      </c>
      <c r="C39" s="38">
        <v>2063111.8179291589</v>
      </c>
      <c r="D39" s="38">
        <v>607687.02398929046</v>
      </c>
      <c r="E39" s="38">
        <v>1465161.4691303188</v>
      </c>
      <c r="F39" s="13">
        <f t="shared" si="0"/>
        <v>11362689.75055993</v>
      </c>
      <c r="H39" s="8">
        <v>3.4269301785787172</v>
      </c>
      <c r="I39" s="8">
        <v>0.97833192868530594</v>
      </c>
      <c r="J39" s="8">
        <v>0.28816645469716867</v>
      </c>
      <c r="K39" s="8">
        <v>0.69478262567874072</v>
      </c>
      <c r="L39" s="7">
        <f t="shared" si="1"/>
        <v>5.3882111876399321</v>
      </c>
      <c r="N39" s="23">
        <v>1.8731473152446592</v>
      </c>
      <c r="O39" s="23">
        <v>0.53475260076499276</v>
      </c>
      <c r="P39" s="23">
        <v>0.15751071449708978</v>
      </c>
      <c r="Q39" s="23">
        <v>0.37976560424365652</v>
      </c>
      <c r="R39" s="23">
        <f t="shared" si="2"/>
        <v>2.9451762347503978</v>
      </c>
      <c r="S39" s="23"/>
    </row>
    <row r="40" spans="1:19" x14ac:dyDescent="0.6">
      <c r="A40" s="24">
        <v>1930</v>
      </c>
      <c r="B40" s="38">
        <v>7297808.4242093144</v>
      </c>
      <c r="C40" s="38">
        <v>1899153.346911143</v>
      </c>
      <c r="D40" s="38">
        <v>542091.77475945023</v>
      </c>
      <c r="E40" s="38">
        <v>1462304.6843525099</v>
      </c>
      <c r="F40" s="13">
        <f t="shared" si="0"/>
        <v>11201358.230232418</v>
      </c>
      <c r="H40" s="8">
        <v>3.428376905523125</v>
      </c>
      <c r="I40" s="8">
        <v>0.89218750289441173</v>
      </c>
      <c r="J40" s="8">
        <v>0.25466479979031548</v>
      </c>
      <c r="K40" s="8">
        <v>0.68696399209953229</v>
      </c>
      <c r="L40" s="7">
        <f t="shared" si="1"/>
        <v>5.2621932003073848</v>
      </c>
      <c r="N40" s="23">
        <v>1.8576866281218372</v>
      </c>
      <c r="O40" s="23">
        <v>0.48343715979251811</v>
      </c>
      <c r="P40" s="23">
        <v>0.13799165210267542</v>
      </c>
      <c r="Q40" s="23">
        <v>0.37223556723550233</v>
      </c>
      <c r="R40" s="23">
        <f t="shared" si="2"/>
        <v>2.851351007252533</v>
      </c>
      <c r="S40" s="23"/>
    </row>
    <row r="41" spans="1:19" x14ac:dyDescent="0.6">
      <c r="A41" s="24">
        <v>1931</v>
      </c>
      <c r="B41" s="38">
        <v>7342558.233637129</v>
      </c>
      <c r="C41" s="38">
        <v>1693857.9742069459</v>
      </c>
      <c r="D41" s="38">
        <v>425025.96217410051</v>
      </c>
      <c r="E41" s="38">
        <v>1404437.5157707357</v>
      </c>
      <c r="F41" s="13">
        <f t="shared" si="0"/>
        <v>10865879.685788911</v>
      </c>
      <c r="H41" s="8">
        <v>3.4175421798267669</v>
      </c>
      <c r="I41" s="8">
        <v>0.78839430199801985</v>
      </c>
      <c r="J41" s="8">
        <v>0.1978253501071558</v>
      </c>
      <c r="K41" s="8">
        <v>0.65368558155786949</v>
      </c>
      <c r="L41" s="7">
        <f t="shared" si="1"/>
        <v>5.057447413489812</v>
      </c>
      <c r="N41" s="23">
        <v>1.8361858426084832</v>
      </c>
      <c r="O41" s="23">
        <v>0.42359051609286674</v>
      </c>
      <c r="P41" s="23">
        <v>0.10628811235161952</v>
      </c>
      <c r="Q41" s="23">
        <v>0.35121386868579768</v>
      </c>
      <c r="R41" s="23">
        <f t="shared" si="2"/>
        <v>2.7172783397387672</v>
      </c>
      <c r="S41" s="23"/>
    </row>
    <row r="42" spans="1:19" x14ac:dyDescent="0.6">
      <c r="A42" s="24">
        <v>1932</v>
      </c>
      <c r="B42" s="38">
        <v>7387308.0430649444</v>
      </c>
      <c r="C42" s="38">
        <v>1522556.7540316377</v>
      </c>
      <c r="D42" s="38">
        <v>297312.28589319444</v>
      </c>
      <c r="E42" s="38">
        <v>1328244.1833180499</v>
      </c>
      <c r="F42" s="13">
        <f t="shared" si="0"/>
        <v>10535421.266307827</v>
      </c>
      <c r="H42" s="8">
        <v>3.4069057536801162</v>
      </c>
      <c r="I42" s="8">
        <v>0.70217829490467143</v>
      </c>
      <c r="J42" s="8">
        <v>0.13711556788270335</v>
      </c>
      <c r="K42" s="8">
        <v>0.61256451254751454</v>
      </c>
      <c r="L42" s="7">
        <f t="shared" si="1"/>
        <v>4.8587641290150057</v>
      </c>
      <c r="N42" s="23">
        <v>1.8154287118591481</v>
      </c>
      <c r="O42" s="23">
        <v>0.37416786068627217</v>
      </c>
      <c r="P42" s="23">
        <v>7.3064404117503465E-2</v>
      </c>
      <c r="Q42" s="23">
        <v>0.32641560534614555</v>
      </c>
      <c r="R42" s="23">
        <f t="shared" si="2"/>
        <v>2.5890765820090693</v>
      </c>
      <c r="S42" s="23"/>
    </row>
    <row r="43" spans="1:19" x14ac:dyDescent="0.6">
      <c r="A43" s="24">
        <v>1933</v>
      </c>
      <c r="B43" s="38">
        <v>7432057.8524927609</v>
      </c>
      <c r="C43" s="38">
        <v>1601755.5527239086</v>
      </c>
      <c r="D43" s="38">
        <v>338328.2982935941</v>
      </c>
      <c r="E43" s="38">
        <v>1337330.6460250944</v>
      </c>
      <c r="F43" s="13">
        <f t="shared" si="0"/>
        <v>10709472.349535359</v>
      </c>
      <c r="H43" s="8">
        <v>3.3964622324664822</v>
      </c>
      <c r="I43" s="8">
        <v>0.73200482940879119</v>
      </c>
      <c r="J43" s="8">
        <v>0.15461656921083095</v>
      </c>
      <c r="K43" s="8">
        <v>0.61116222743351678</v>
      </c>
      <c r="L43" s="7">
        <f t="shared" si="1"/>
        <v>4.8942458585196214</v>
      </c>
      <c r="N43" s="23">
        <v>1.7953773101986485</v>
      </c>
      <c r="O43" s="23">
        <v>0.38693934209361053</v>
      </c>
      <c r="P43" s="23">
        <v>8.1730654175505915E-2</v>
      </c>
      <c r="Q43" s="23">
        <v>0.32306168032605392</v>
      </c>
      <c r="R43" s="23">
        <f t="shared" si="2"/>
        <v>2.5871089867938188</v>
      </c>
      <c r="S43" s="23"/>
    </row>
    <row r="44" spans="1:19" x14ac:dyDescent="0.6">
      <c r="A44" s="24">
        <v>1934</v>
      </c>
      <c r="B44" s="38">
        <v>7476807.6619205773</v>
      </c>
      <c r="C44" s="38">
        <v>1748532.571976088</v>
      </c>
      <c r="D44" s="38">
        <v>420565.8927724887</v>
      </c>
      <c r="E44" s="38">
        <v>1428114.2646516599</v>
      </c>
      <c r="F44" s="13">
        <f t="shared" si="0"/>
        <v>11074020.391320813</v>
      </c>
      <c r="H44" s="8">
        <v>3.3862064154869849</v>
      </c>
      <c r="I44" s="8">
        <v>0.79190110012706683</v>
      </c>
      <c r="J44" s="8">
        <v>0.19047205553972968</v>
      </c>
      <c r="K44" s="8">
        <v>0.64678535327866482</v>
      </c>
      <c r="L44" s="7">
        <f t="shared" si="1"/>
        <v>5.0153649244324461</v>
      </c>
      <c r="N44" s="23">
        <v>1.7759962477413003</v>
      </c>
      <c r="O44" s="23">
        <v>0.41533598660010096</v>
      </c>
      <c r="P44" s="23">
        <v>9.9898710956013381E-2</v>
      </c>
      <c r="Q44" s="23">
        <v>0.33922573510680154</v>
      </c>
      <c r="R44" s="23">
        <f t="shared" si="2"/>
        <v>2.6304566804042162</v>
      </c>
      <c r="S44" s="23"/>
    </row>
    <row r="45" spans="1:19" x14ac:dyDescent="0.6">
      <c r="A45" s="24">
        <v>1935</v>
      </c>
      <c r="B45" s="38">
        <v>7521557.4713483909</v>
      </c>
      <c r="C45" s="38">
        <v>1840810.9241322947</v>
      </c>
      <c r="D45" s="38">
        <v>480784.65998651879</v>
      </c>
      <c r="E45" s="38">
        <v>1497692.3138056719</v>
      </c>
      <c r="F45" s="13">
        <f t="shared" si="0"/>
        <v>11340845.369272875</v>
      </c>
      <c r="H45" s="8">
        <v>3.3761332873248189</v>
      </c>
      <c r="I45" s="8">
        <v>0.82626810475198953</v>
      </c>
      <c r="J45" s="8">
        <v>0.21580544997479634</v>
      </c>
      <c r="K45" s="8">
        <v>0.67225556596104741</v>
      </c>
      <c r="L45" s="7">
        <f t="shared" si="1"/>
        <v>5.0904624080126526</v>
      </c>
      <c r="N45" s="23">
        <v>1.7572524619400829</v>
      </c>
      <c r="O45" s="23">
        <v>0.4300664510933766</v>
      </c>
      <c r="P45" s="23">
        <v>0.11232514417959737</v>
      </c>
      <c r="Q45" s="23">
        <v>0.34990406118534234</v>
      </c>
      <c r="R45" s="23">
        <f t="shared" si="2"/>
        <v>2.6495481183983989</v>
      </c>
      <c r="S45" s="23"/>
    </row>
    <row r="46" spans="1:19" x14ac:dyDescent="0.6">
      <c r="A46" s="24">
        <v>1936</v>
      </c>
      <c r="B46" s="38">
        <v>7566307.2807762064</v>
      </c>
      <c r="C46" s="38">
        <v>2018037.2650141979</v>
      </c>
      <c r="D46" s="38">
        <v>568796.75058507139</v>
      </c>
      <c r="E46" s="38">
        <v>1497542.5519495711</v>
      </c>
      <c r="F46" s="13">
        <f t="shared" si="0"/>
        <v>11650683.848325048</v>
      </c>
      <c r="H46" s="8">
        <v>3.3662380096669375</v>
      </c>
      <c r="I46" s="8">
        <v>0.89782155208983383</v>
      </c>
      <c r="J46" s="8">
        <v>0.25305676475223565</v>
      </c>
      <c r="K46" s="8">
        <v>0.66625428658894226</v>
      </c>
      <c r="L46" s="7">
        <f t="shared" si="1"/>
        <v>5.1833706130979493</v>
      </c>
      <c r="N46" s="23">
        <v>1.739115029365687</v>
      </c>
      <c r="O46" s="23">
        <v>0.46384567889848871</v>
      </c>
      <c r="P46" s="23">
        <v>0.13073788056561511</v>
      </c>
      <c r="Q46" s="23">
        <v>0.34421001719387828</v>
      </c>
      <c r="R46" s="23">
        <f t="shared" si="2"/>
        <v>2.677908606023669</v>
      </c>
      <c r="S46" s="23"/>
    </row>
    <row r="47" spans="1:19" x14ac:dyDescent="0.6">
      <c r="A47" s="24">
        <v>1937</v>
      </c>
      <c r="B47" s="38">
        <v>7611057.0902040238</v>
      </c>
      <c r="C47" s="38">
        <v>2151962.7771376073</v>
      </c>
      <c r="D47" s="38">
        <v>701593.12098488654</v>
      </c>
      <c r="E47" s="38">
        <v>1661173.8575274467</v>
      </c>
      <c r="F47" s="13">
        <f t="shared" si="0"/>
        <v>12125786.845853962</v>
      </c>
      <c r="H47" s="8">
        <v>3.3565159135551212</v>
      </c>
      <c r="I47" s="8">
        <v>0.94902681995872762</v>
      </c>
      <c r="J47" s="8">
        <v>0.30940622932095874</v>
      </c>
      <c r="K47" s="8">
        <v>0.7325863440374164</v>
      </c>
      <c r="L47" s="7">
        <f t="shared" si="1"/>
        <v>5.3475353068722242</v>
      </c>
      <c r="N47" s="23">
        <v>1.7215549954613956</v>
      </c>
      <c r="O47" s="23">
        <v>0.48675528577974653</v>
      </c>
      <c r="P47" s="23">
        <v>0.15869426912687962</v>
      </c>
      <c r="Q47" s="23">
        <v>0.37574309571754794</v>
      </c>
      <c r="R47" s="23">
        <f t="shared" si="2"/>
        <v>2.7427476460855695</v>
      </c>
      <c r="S47" s="23"/>
    </row>
    <row r="48" spans="1:19" x14ac:dyDescent="0.6">
      <c r="A48" s="24">
        <v>1938</v>
      </c>
      <c r="B48" s="38">
        <v>7655806.8996318383</v>
      </c>
      <c r="C48" s="38">
        <v>1964509.7241351465</v>
      </c>
      <c r="D48" s="38">
        <v>595821.16740489053</v>
      </c>
      <c r="E48" s="38">
        <v>1704451.9388828983</v>
      </c>
      <c r="F48" s="13">
        <f t="shared" si="0"/>
        <v>11920589.730054773</v>
      </c>
      <c r="H48" s="8">
        <v>3.3469624920403787</v>
      </c>
      <c r="I48" s="8">
        <v>0.8588435481889074</v>
      </c>
      <c r="J48" s="8">
        <v>0.26048085138664862</v>
      </c>
      <c r="K48" s="8">
        <v>0.74515159325673386</v>
      </c>
      <c r="L48" s="7">
        <f t="shared" si="1"/>
        <v>5.2114384848726676</v>
      </c>
      <c r="N48" s="23">
        <v>1.7045452203023008</v>
      </c>
      <c r="O48" s="23">
        <v>0.43739291029832356</v>
      </c>
      <c r="P48" s="23">
        <v>0.13265801193389332</v>
      </c>
      <c r="Q48" s="23">
        <v>0.37949173010065707</v>
      </c>
      <c r="R48" s="23">
        <f t="shared" si="2"/>
        <v>2.6540878726351744</v>
      </c>
      <c r="S48" s="23"/>
    </row>
    <row r="49" spans="1:19" x14ac:dyDescent="0.6">
      <c r="A49" s="24">
        <v>1939</v>
      </c>
      <c r="B49" s="38">
        <v>7700556.7090596538</v>
      </c>
      <c r="C49" s="38">
        <v>2161381.0821051123</v>
      </c>
      <c r="D49" s="38">
        <v>666717.4944375772</v>
      </c>
      <c r="E49" s="38">
        <v>1776800.1265273881</v>
      </c>
      <c r="F49" s="13">
        <f t="shared" si="0"/>
        <v>12305455.412129732</v>
      </c>
      <c r="H49" s="8">
        <v>3.3375733932163887</v>
      </c>
      <c r="I49" s="8">
        <v>0.93678525654493527</v>
      </c>
      <c r="J49" s="8">
        <v>0.28896853231517644</v>
      </c>
      <c r="K49" s="8">
        <v>0.77010027344964316</v>
      </c>
      <c r="L49" s="7">
        <f t="shared" si="1"/>
        <v>5.3334274555261434</v>
      </c>
      <c r="N49" s="23">
        <v>1.6880602386306454</v>
      </c>
      <c r="O49" s="23">
        <v>0.47380229807770047</v>
      </c>
      <c r="P49" s="23">
        <v>0.14615297767178664</v>
      </c>
      <c r="Q49" s="23">
        <v>0.38949724791404672</v>
      </c>
      <c r="R49" s="23">
        <f t="shared" si="2"/>
        <v>2.697512762294179</v>
      </c>
      <c r="S49" s="23"/>
    </row>
    <row r="50" spans="1:19" x14ac:dyDescent="0.6">
      <c r="A50" s="24">
        <v>1940</v>
      </c>
      <c r="B50" s="38">
        <v>7745306.5184874693</v>
      </c>
      <c r="C50" s="38">
        <v>2373608.7487691375</v>
      </c>
      <c r="D50" s="38">
        <v>729450.69680630916</v>
      </c>
      <c r="E50" s="38">
        <v>1711550.2573116999</v>
      </c>
      <c r="F50" s="13">
        <f t="shared" si="0"/>
        <v>12559916.221374616</v>
      </c>
      <c r="H50" s="8">
        <v>3.3283444136093587</v>
      </c>
      <c r="I50" s="8">
        <v>1.0199967425695677</v>
      </c>
      <c r="J50" s="8">
        <v>0.31346250092538042</v>
      </c>
      <c r="K50" s="8">
        <v>0.73549429243860509</v>
      </c>
      <c r="L50" s="7">
        <f t="shared" si="1"/>
        <v>5.3972979495429119</v>
      </c>
      <c r="N50" s="23">
        <v>1.6720761326491178</v>
      </c>
      <c r="O50" s="23">
        <v>0.51242059014587105</v>
      </c>
      <c r="P50" s="23">
        <v>0.15747563988110369</v>
      </c>
      <c r="Q50" s="23">
        <v>0.36949374802008744</v>
      </c>
      <c r="R50" s="23">
        <f t="shared" si="2"/>
        <v>2.7114661106961804</v>
      </c>
      <c r="S50" s="23"/>
    </row>
    <row r="51" spans="1:19" x14ac:dyDescent="0.6">
      <c r="A51" s="24">
        <v>1941</v>
      </c>
      <c r="B51" s="38">
        <v>7790056.3279152857</v>
      </c>
      <c r="C51" s="38">
        <v>2451161.9068078636</v>
      </c>
      <c r="D51" s="38">
        <v>766374.9660017998</v>
      </c>
      <c r="E51" s="38">
        <v>1785018.6611613159</v>
      </c>
      <c r="F51" s="13">
        <f t="shared" si="0"/>
        <v>12792611.861886265</v>
      </c>
      <c r="H51" s="8">
        <v>3.3192714919032023</v>
      </c>
      <c r="I51" s="8">
        <v>1.0444175878614921</v>
      </c>
      <c r="J51" s="8">
        <v>0.32654533801539448</v>
      </c>
      <c r="K51" s="8">
        <v>0.76058006580468074</v>
      </c>
      <c r="L51" s="7">
        <f t="shared" si="1"/>
        <v>5.4508144835847698</v>
      </c>
      <c r="N51" s="23">
        <v>1.6565704162356913</v>
      </c>
      <c r="O51" s="23">
        <v>0.52124427979693688</v>
      </c>
      <c r="P51" s="23">
        <v>0.16297110611034099</v>
      </c>
      <c r="Q51" s="23">
        <v>0.3795876412231039</v>
      </c>
      <c r="R51" s="23">
        <f t="shared" si="2"/>
        <v>2.7203734433660731</v>
      </c>
      <c r="S51" s="23"/>
    </row>
    <row r="52" spans="1:19" x14ac:dyDescent="0.6">
      <c r="A52" s="24">
        <v>1942</v>
      </c>
      <c r="B52" s="38">
        <v>7834806.1373431003</v>
      </c>
      <c r="C52" s="38">
        <v>2473329.7072349801</v>
      </c>
      <c r="D52" s="38">
        <v>754262.31065219396</v>
      </c>
      <c r="E52" s="38">
        <v>1757332.2622730718</v>
      </c>
      <c r="F52" s="13">
        <f t="shared" si="0"/>
        <v>12819730.417503346</v>
      </c>
      <c r="H52" s="8">
        <v>3.310350702980366</v>
      </c>
      <c r="I52" s="8">
        <v>1.0450276103224774</v>
      </c>
      <c r="J52" s="8">
        <v>0.31868979608802578</v>
      </c>
      <c r="K52" s="8">
        <v>0.74250542869954184</v>
      </c>
      <c r="L52" s="7">
        <f t="shared" si="1"/>
        <v>5.416573538090411</v>
      </c>
      <c r="N52" s="23">
        <v>1.6415219294012071</v>
      </c>
      <c r="O52" s="23">
        <v>0.51820362647064833</v>
      </c>
      <c r="P52" s="23">
        <v>0.15803047347337087</v>
      </c>
      <c r="Q52" s="23">
        <v>0.36819027748703503</v>
      </c>
      <c r="R52" s="23">
        <f t="shared" si="2"/>
        <v>2.6859463068322613</v>
      </c>
      <c r="S52" s="23"/>
    </row>
    <row r="53" spans="1:19" x14ac:dyDescent="0.6">
      <c r="A53" s="24">
        <v>1943</v>
      </c>
      <c r="B53" s="38">
        <v>7879555.9467709158</v>
      </c>
      <c r="C53" s="38">
        <v>2547264.1472665388</v>
      </c>
      <c r="D53" s="38">
        <v>770494.44349438639</v>
      </c>
      <c r="E53" s="38">
        <v>1711979.8080506336</v>
      </c>
      <c r="F53" s="13">
        <f t="shared" si="0"/>
        <v>12909294.345582476</v>
      </c>
      <c r="H53" s="8">
        <v>3.3015782522599366</v>
      </c>
      <c r="I53" s="8">
        <v>1.0673180022058371</v>
      </c>
      <c r="J53" s="8">
        <v>0.32284150468792233</v>
      </c>
      <c r="K53" s="8">
        <v>0.7173291668656061</v>
      </c>
      <c r="L53" s="7">
        <f t="shared" si="1"/>
        <v>5.4090669260193023</v>
      </c>
      <c r="N53" s="23">
        <v>1.6269107419479505</v>
      </c>
      <c r="O53" s="23">
        <v>0.52593971433950182</v>
      </c>
      <c r="P53" s="23">
        <v>0.15908582859240017</v>
      </c>
      <c r="Q53" s="23">
        <v>0.35347656118324433</v>
      </c>
      <c r="R53" s="23">
        <f t="shared" si="2"/>
        <v>2.6654128460630968</v>
      </c>
      <c r="S53" s="23"/>
    </row>
    <row r="54" spans="1:19" x14ac:dyDescent="0.6">
      <c r="A54" s="24">
        <v>1944</v>
      </c>
      <c r="B54" s="38">
        <v>7924305.7561987313</v>
      </c>
      <c r="C54" s="38">
        <v>2533100.303013653</v>
      </c>
      <c r="D54" s="38">
        <v>688091.46968148882</v>
      </c>
      <c r="E54" s="38">
        <v>1620088.2405964956</v>
      </c>
      <c r="F54" s="13">
        <f t="shared" si="0"/>
        <v>12765585.769490369</v>
      </c>
      <c r="H54" s="8">
        <v>3.2929504703158461</v>
      </c>
      <c r="I54" s="8">
        <v>1.0526314974205837</v>
      </c>
      <c r="J54" s="8">
        <v>0.28593686291515624</v>
      </c>
      <c r="K54" s="8">
        <v>0.67322873422094265</v>
      </c>
      <c r="L54" s="7">
        <f t="shared" si="1"/>
        <v>5.3047475648725291</v>
      </c>
      <c r="N54" s="23">
        <v>1.6127180654067963</v>
      </c>
      <c r="O54" s="23">
        <v>0.51552486057998803</v>
      </c>
      <c r="P54" s="23">
        <v>0.14003719416550742</v>
      </c>
      <c r="Q54" s="23">
        <v>0.32971286741671713</v>
      </c>
      <c r="R54" s="23">
        <f t="shared" si="2"/>
        <v>2.5979929875690084</v>
      </c>
      <c r="S54" s="23"/>
    </row>
    <row r="55" spans="1:19" x14ac:dyDescent="0.6">
      <c r="A55" s="24">
        <v>1945</v>
      </c>
      <c r="B55" s="38">
        <v>7969055.5656265467</v>
      </c>
      <c r="C55" s="38">
        <v>2068388.1618745634</v>
      </c>
      <c r="D55" s="38">
        <v>585755.25758374948</v>
      </c>
      <c r="E55" s="38">
        <v>1608674.2272970423</v>
      </c>
      <c r="F55" s="13">
        <f t="shared" si="0"/>
        <v>12231873.212381899</v>
      </c>
      <c r="H55" s="8">
        <v>3.2844638077591739</v>
      </c>
      <c r="I55" s="8">
        <v>0.85249073772023598</v>
      </c>
      <c r="J55" s="8">
        <v>0.24142031987290033</v>
      </c>
      <c r="K55" s="8">
        <v>0.66301862680219348</v>
      </c>
      <c r="L55" s="7">
        <f t="shared" si="1"/>
        <v>5.0413934921545041</v>
      </c>
      <c r="N55" s="23">
        <v>1.5989261724347135</v>
      </c>
      <c r="O55" s="23">
        <v>0.41500525872106253</v>
      </c>
      <c r="P55" s="23">
        <v>0.11752702742238416</v>
      </c>
      <c r="Q55" s="23">
        <v>0.3227673974367879</v>
      </c>
      <c r="R55" s="23">
        <f t="shared" si="2"/>
        <v>2.4542258560149479</v>
      </c>
      <c r="S55" s="23"/>
    </row>
    <row r="56" spans="1:19" x14ac:dyDescent="0.6">
      <c r="A56" s="24">
        <v>1946</v>
      </c>
      <c r="B56" s="38">
        <v>8013805.3750543632</v>
      </c>
      <c r="C56" s="38">
        <v>2209605.0409683497</v>
      </c>
      <c r="D56" s="38">
        <v>546173.71674091218</v>
      </c>
      <c r="E56" s="38">
        <v>1804770.8689554743</v>
      </c>
      <c r="F56" s="13">
        <f t="shared" si="0"/>
        <v>12574355.001719099</v>
      </c>
      <c r="H56" s="8">
        <v>3.2761148303695249</v>
      </c>
      <c r="I56" s="8">
        <v>0.90330617043798189</v>
      </c>
      <c r="J56" s="8">
        <v>0.22328066750196168</v>
      </c>
      <c r="K56" s="8">
        <v>0.73780636445314407</v>
      </c>
      <c r="L56" s="7">
        <f t="shared" si="1"/>
        <v>5.1405080327626127</v>
      </c>
      <c r="N56" s="23">
        <v>1.5855183229455436</v>
      </c>
      <c r="O56" s="23">
        <v>0.4371667534918629</v>
      </c>
      <c r="P56" s="23">
        <v>0.10805957904837575</v>
      </c>
      <c r="Q56" s="23">
        <v>0.35707097284326594</v>
      </c>
      <c r="R56" s="23">
        <f t="shared" si="2"/>
        <v>2.4878156283290487</v>
      </c>
      <c r="S56" s="23"/>
    </row>
    <row r="57" spans="1:19" x14ac:dyDescent="0.6">
      <c r="A57" s="24">
        <v>1947</v>
      </c>
      <c r="B57" s="38">
        <v>8058555.1844821787</v>
      </c>
      <c r="C57" s="38">
        <v>2481005.1938499436</v>
      </c>
      <c r="D57" s="38">
        <v>653419.54618340998</v>
      </c>
      <c r="E57" s="38">
        <v>1932329.6060681674</v>
      </c>
      <c r="F57" s="13">
        <f t="shared" si="0"/>
        <v>13125309.5305837</v>
      </c>
      <c r="H57" s="8">
        <v>3.2679002144614637</v>
      </c>
      <c r="I57" s="8">
        <v>1.0060956610031844</v>
      </c>
      <c r="J57" s="8">
        <v>0.26497428214153096</v>
      </c>
      <c r="K57" s="8">
        <v>0.78359708279222551</v>
      </c>
      <c r="L57" s="7">
        <f t="shared" si="1"/>
        <v>5.3225672403984046</v>
      </c>
      <c r="N57" s="23">
        <v>1.5724786963268413</v>
      </c>
      <c r="O57" s="23">
        <v>0.48412249137634594</v>
      </c>
      <c r="P57" s="23">
        <v>0.12750279580085652</v>
      </c>
      <c r="Q57" s="23">
        <v>0.3770585508522617</v>
      </c>
      <c r="R57" s="23">
        <f t="shared" si="2"/>
        <v>2.5611625343563054</v>
      </c>
      <c r="S57" s="23"/>
    </row>
    <row r="58" spans="1:19" x14ac:dyDescent="0.6">
      <c r="A58" s="24">
        <v>1948</v>
      </c>
      <c r="B58" s="38">
        <v>8103304.9939099932</v>
      </c>
      <c r="C58" s="38">
        <v>2607303.7033667723</v>
      </c>
      <c r="D58" s="38">
        <v>732298.60913834779</v>
      </c>
      <c r="E58" s="38">
        <v>2082897.3462290764</v>
      </c>
      <c r="F58" s="13">
        <f t="shared" si="0"/>
        <v>13525804.652644189</v>
      </c>
      <c r="H58" s="8">
        <v>3.2598167424728692</v>
      </c>
      <c r="I58" s="8">
        <v>1.0488723146091823</v>
      </c>
      <c r="J58" s="8">
        <v>0.29459082045570811</v>
      </c>
      <c r="K58" s="8">
        <v>0.83791288211325465</v>
      </c>
      <c r="L58" s="7">
        <f t="shared" si="1"/>
        <v>5.4411927596510141</v>
      </c>
      <c r="N58" s="23">
        <v>1.5597923291657012</v>
      </c>
      <c r="O58" s="23">
        <v>0.5018757555556953</v>
      </c>
      <c r="P58" s="23">
        <v>0.14095899809412929</v>
      </c>
      <c r="Q58" s="23">
        <v>0.40093360740209055</v>
      </c>
      <c r="R58" s="23">
        <f t="shared" si="2"/>
        <v>2.6035606902176167</v>
      </c>
      <c r="S58" s="23"/>
    </row>
    <row r="59" spans="1:19" x14ac:dyDescent="0.6">
      <c r="A59" s="24">
        <v>1949</v>
      </c>
      <c r="B59" s="38">
        <v>8148054.8033378096</v>
      </c>
      <c r="C59" s="38">
        <v>2521074.976144135</v>
      </c>
      <c r="D59" s="38">
        <v>729674.22705408116</v>
      </c>
      <c r="E59" s="38">
        <v>2212468.8383130562</v>
      </c>
      <c r="F59" s="13">
        <f t="shared" si="0"/>
        <v>13611272.844849082</v>
      </c>
      <c r="H59" s="8">
        <v>3.2518612987629094</v>
      </c>
      <c r="I59" s="8">
        <v>1.006152553471338</v>
      </c>
      <c r="J59" s="8">
        <v>0.291210532689336</v>
      </c>
      <c r="K59" s="8">
        <v>0.88298888061993785</v>
      </c>
      <c r="L59" s="7">
        <f t="shared" si="1"/>
        <v>5.4322132655435214</v>
      </c>
      <c r="N59" s="23">
        <v>1.5474450579681951</v>
      </c>
      <c r="O59" s="23">
        <v>0.47879219111332066</v>
      </c>
      <c r="P59" s="23">
        <v>0.13857672829091158</v>
      </c>
      <c r="Q59" s="23">
        <v>0.42018298261244902</v>
      </c>
      <c r="R59" s="23">
        <f t="shared" si="2"/>
        <v>2.5849969599848768</v>
      </c>
      <c r="S59" s="23"/>
    </row>
    <row r="60" spans="1:19" x14ac:dyDescent="0.6">
      <c r="A60" s="24">
        <v>1950</v>
      </c>
      <c r="B60" s="38">
        <v>8192804.6127656261</v>
      </c>
      <c r="C60" s="38">
        <v>2755352.844100419</v>
      </c>
      <c r="D60" s="38">
        <v>812128.67187573481</v>
      </c>
      <c r="E60" s="38">
        <v>2389261.4810126745</v>
      </c>
      <c r="F60" s="13">
        <f t="shared" si="0"/>
        <v>14149547.609754452</v>
      </c>
      <c r="H60" s="8">
        <v>3.2440308656081038</v>
      </c>
      <c r="I60" s="8">
        <v>1.0910121862268483</v>
      </c>
      <c r="J60" s="8">
        <v>0.32157125708882905</v>
      </c>
      <c r="K60" s="8">
        <v>0.94605429480603886</v>
      </c>
      <c r="L60" s="7">
        <f t="shared" si="1"/>
        <v>5.6026686037298195</v>
      </c>
      <c r="N60" s="23">
        <v>1.5354234664114157</v>
      </c>
      <c r="O60" s="23">
        <v>0.51638402415739937</v>
      </c>
      <c r="P60" s="23">
        <v>0.15220202110039166</v>
      </c>
      <c r="Q60" s="23">
        <v>0.4477743970146234</v>
      </c>
      <c r="R60" s="23">
        <f t="shared" si="2"/>
        <v>2.65178390868383</v>
      </c>
      <c r="S60" s="23"/>
    </row>
    <row r="61" spans="1:19" x14ac:dyDescent="0.6">
      <c r="A61" s="24">
        <v>1951</v>
      </c>
      <c r="B61" s="38">
        <v>8300873.3277439456</v>
      </c>
      <c r="C61" s="38">
        <v>2939626.7484064568</v>
      </c>
      <c r="D61" s="38">
        <v>886731.09156546264</v>
      </c>
      <c r="E61" s="38">
        <v>2547281.1606773925</v>
      </c>
      <c r="F61" s="13">
        <f t="shared" si="0"/>
        <v>14674512.328393256</v>
      </c>
      <c r="H61" s="8">
        <v>3.2306146014008612</v>
      </c>
      <c r="I61" s="8">
        <v>1.1440725235896987</v>
      </c>
      <c r="J61" s="8">
        <v>0.34510662900406974</v>
      </c>
      <c r="K61" s="8">
        <v>0.9913756524934606</v>
      </c>
      <c r="L61" s="7">
        <f t="shared" si="1"/>
        <v>5.7111694064880902</v>
      </c>
      <c r="N61" s="23">
        <v>1.4691922014584793</v>
      </c>
      <c r="O61" s="23">
        <v>0.52029184441624532</v>
      </c>
      <c r="P61" s="23">
        <v>0.15694473979797718</v>
      </c>
      <c r="Q61" s="23">
        <v>0.45084962369934994</v>
      </c>
      <c r="R61" s="23">
        <f t="shared" si="2"/>
        <v>2.5972784093720516</v>
      </c>
      <c r="S61" s="23"/>
    </row>
    <row r="62" spans="1:19" x14ac:dyDescent="0.6">
      <c r="A62" s="24">
        <v>1952</v>
      </c>
      <c r="B62" s="38">
        <v>8408942.0427222662</v>
      </c>
      <c r="C62" s="38">
        <v>2988622.945872847</v>
      </c>
      <c r="D62" s="38">
        <v>924878.55481644184</v>
      </c>
      <c r="E62" s="38">
        <v>2687811.9347196985</v>
      </c>
      <c r="F62" s="13">
        <f t="shared" si="0"/>
        <v>15010255.478131253</v>
      </c>
      <c r="H62" s="8">
        <v>3.214335908032842</v>
      </c>
      <c r="I62" s="8">
        <v>1.1424074516965093</v>
      </c>
      <c r="J62" s="8">
        <v>0.35353678669826921</v>
      </c>
      <c r="K62" s="8">
        <v>1.0274218054916973</v>
      </c>
      <c r="L62" s="7">
        <f t="shared" si="1"/>
        <v>5.737701951919318</v>
      </c>
      <c r="N62" s="23">
        <v>1.422525340872427</v>
      </c>
      <c r="O62" s="23">
        <v>0.50557987594841425</v>
      </c>
      <c r="P62" s="23">
        <v>0.15646001301608814</v>
      </c>
      <c r="Q62" s="23">
        <v>0.45469222753738031</v>
      </c>
      <c r="R62" s="23">
        <f t="shared" si="2"/>
        <v>2.5392574573743096</v>
      </c>
      <c r="S62" s="23"/>
    </row>
    <row r="63" spans="1:19" x14ac:dyDescent="0.6">
      <c r="A63" s="24">
        <v>1953</v>
      </c>
      <c r="B63" s="38">
        <v>8517010.7577005848</v>
      </c>
      <c r="C63" s="38">
        <v>3034812.0907421769</v>
      </c>
      <c r="D63" s="38">
        <v>1002360.7253542715</v>
      </c>
      <c r="E63" s="38">
        <v>2857034.8494938337</v>
      </c>
      <c r="F63" s="13">
        <f t="shared" si="0"/>
        <v>15411218.423290865</v>
      </c>
      <c r="H63" s="8">
        <v>3.1966120159400915</v>
      </c>
      <c r="I63" s="8">
        <v>1.1390283599930326</v>
      </c>
      <c r="J63" s="8">
        <v>0.37620691462399253</v>
      </c>
      <c r="K63" s="8">
        <v>1.0723048484580349</v>
      </c>
      <c r="L63" s="7">
        <f t="shared" si="1"/>
        <v>5.784152139015152</v>
      </c>
      <c r="N63" s="23">
        <v>1.3717230050377289</v>
      </c>
      <c r="O63" s="23">
        <v>0.48877730453420182</v>
      </c>
      <c r="P63" s="23">
        <v>0.16143707052049913</v>
      </c>
      <c r="Q63" s="23">
        <v>0.4601450603666094</v>
      </c>
      <c r="R63" s="23">
        <f t="shared" si="2"/>
        <v>2.4820824404590391</v>
      </c>
      <c r="S63" s="23"/>
    </row>
    <row r="64" spans="1:19" x14ac:dyDescent="0.6">
      <c r="A64" s="24">
        <v>1954</v>
      </c>
      <c r="B64" s="38">
        <v>8625079.4726789054</v>
      </c>
      <c r="C64" s="38">
        <v>3085429.9410209092</v>
      </c>
      <c r="D64" s="38">
        <v>1092892.8716724224</v>
      </c>
      <c r="E64" s="38">
        <v>3028139.646060464</v>
      </c>
      <c r="F64" s="13">
        <f t="shared" si="0"/>
        <v>15831541.931432702</v>
      </c>
      <c r="H64" s="8">
        <v>3.1762437173737617</v>
      </c>
      <c r="I64" s="8">
        <v>1.1362303960917248</v>
      </c>
      <c r="J64" s="8">
        <v>0.40246517477408633</v>
      </c>
      <c r="K64" s="8">
        <v>1.1151328583807958</v>
      </c>
      <c r="L64" s="7">
        <f t="shared" si="1"/>
        <v>5.8300721466203687</v>
      </c>
      <c r="N64" s="23">
        <v>1.3432142458233032</v>
      </c>
      <c r="O64" s="23">
        <v>0.48050495817423605</v>
      </c>
      <c r="P64" s="23">
        <v>0.17020008673997608</v>
      </c>
      <c r="Q64" s="23">
        <v>0.47158293715610533</v>
      </c>
      <c r="R64" s="23">
        <f t="shared" si="2"/>
        <v>2.4655022278936203</v>
      </c>
      <c r="S64" s="23"/>
    </row>
    <row r="65" spans="1:19" x14ac:dyDescent="0.6">
      <c r="A65" s="24">
        <v>1955</v>
      </c>
      <c r="B65" s="38">
        <v>8733148.1876572259</v>
      </c>
      <c r="C65" s="38">
        <v>3362346.9712182474</v>
      </c>
      <c r="D65" s="38">
        <v>1130665.5398597433</v>
      </c>
      <c r="E65" s="38">
        <v>3239522.3813594687</v>
      </c>
      <c r="F65" s="13">
        <f t="shared" si="0"/>
        <v>16465683.080094686</v>
      </c>
      <c r="H65" s="8">
        <v>3.155368740233516</v>
      </c>
      <c r="I65" s="8">
        <v>1.2148476470141076</v>
      </c>
      <c r="J65" s="8">
        <v>0.40852011479376449</v>
      </c>
      <c r="K65" s="8">
        <v>1.170469965215448</v>
      </c>
      <c r="L65" s="7">
        <f t="shared" si="1"/>
        <v>5.9492064672568361</v>
      </c>
      <c r="N65" s="23">
        <v>1.2785478761067877</v>
      </c>
      <c r="O65" s="23">
        <v>0.49225336458402852</v>
      </c>
      <c r="P65" s="23">
        <v>0.16553137465569698</v>
      </c>
      <c r="Q65" s="23">
        <v>0.47427163392708477</v>
      </c>
      <c r="R65" s="23">
        <f t="shared" si="2"/>
        <v>2.410604249273598</v>
      </c>
      <c r="S65" s="23"/>
    </row>
    <row r="66" spans="1:19" x14ac:dyDescent="0.6">
      <c r="A66" s="24">
        <v>1956</v>
      </c>
      <c r="B66" s="38">
        <v>8841216.9026355445</v>
      </c>
      <c r="C66" s="38">
        <v>3566915.459673265</v>
      </c>
      <c r="D66" s="38">
        <v>1206699.9694344595</v>
      </c>
      <c r="E66" s="38">
        <v>3443684.6843105671</v>
      </c>
      <c r="F66" s="13">
        <f t="shared" si="0"/>
        <v>17058517.016053837</v>
      </c>
      <c r="H66" s="8">
        <v>3.1338490003625639</v>
      </c>
      <c r="I66" s="8">
        <v>1.2643253265670533</v>
      </c>
      <c r="J66" s="8">
        <v>0.42772567787839555</v>
      </c>
      <c r="K66" s="8">
        <v>1.2206450677930407</v>
      </c>
      <c r="L66" s="7">
        <f t="shared" si="1"/>
        <v>6.0465450726010532</v>
      </c>
      <c r="N66" s="23">
        <v>1.2362365392486663</v>
      </c>
      <c r="O66" s="23">
        <v>0.4987493545537342</v>
      </c>
      <c r="P66" s="23">
        <v>0.16872865020203676</v>
      </c>
      <c r="Q66" s="23">
        <v>0.48151842481397195</v>
      </c>
      <c r="R66" s="23">
        <f t="shared" si="2"/>
        <v>2.3852329688184093</v>
      </c>
      <c r="S66" s="23"/>
    </row>
    <row r="67" spans="1:19" x14ac:dyDescent="0.6">
      <c r="A67" s="24">
        <v>1957</v>
      </c>
      <c r="B67" s="38">
        <v>8949285.6176138669</v>
      </c>
      <c r="C67" s="38">
        <v>3715818.7854559012</v>
      </c>
      <c r="D67" s="38">
        <v>1274265.1451167157</v>
      </c>
      <c r="E67" s="38">
        <v>3591059.562188467</v>
      </c>
      <c r="F67" s="13">
        <f t="shared" si="0"/>
        <v>17530429.11037495</v>
      </c>
      <c r="H67" s="8">
        <v>3.1088177922131379</v>
      </c>
      <c r="I67" s="8">
        <v>1.2908073388706034</v>
      </c>
      <c r="J67" s="8">
        <v>0.44265635542338844</v>
      </c>
      <c r="K67" s="8">
        <v>1.2474682714177641</v>
      </c>
      <c r="L67" s="7">
        <f t="shared" si="1"/>
        <v>6.0897497579248938</v>
      </c>
      <c r="N67" s="23">
        <v>1.205470273672324</v>
      </c>
      <c r="O67" s="23">
        <v>0.50052141362034197</v>
      </c>
      <c r="P67" s="23">
        <v>0.17164372876776232</v>
      </c>
      <c r="Q67" s="23">
        <v>0.48371632532152425</v>
      </c>
      <c r="R67" s="23">
        <f t="shared" si="2"/>
        <v>2.3613517413819527</v>
      </c>
      <c r="S67" s="23"/>
    </row>
    <row r="68" spans="1:19" x14ac:dyDescent="0.6">
      <c r="A68" s="24">
        <v>1958</v>
      </c>
      <c r="B68" s="38">
        <v>9057354.3325921837</v>
      </c>
      <c r="C68" s="38">
        <v>3904738.408668993</v>
      </c>
      <c r="D68" s="38">
        <v>1204975.7485899322</v>
      </c>
      <c r="E68" s="38">
        <v>3756726.0963586885</v>
      </c>
      <c r="F68" s="13">
        <f t="shared" si="0"/>
        <v>17923794.586209796</v>
      </c>
      <c r="H68" s="8">
        <v>3.0828554799602177</v>
      </c>
      <c r="I68" s="8">
        <v>1.3290574442538325</v>
      </c>
      <c r="J68" s="8">
        <v>0.41013809920103733</v>
      </c>
      <c r="K68" s="8">
        <v>1.2786784316468682</v>
      </c>
      <c r="L68" s="7">
        <f t="shared" si="1"/>
        <v>6.1007294550619555</v>
      </c>
      <c r="N68" s="23">
        <v>1.1820694258135027</v>
      </c>
      <c r="O68" s="23">
        <v>0.50960487126777754</v>
      </c>
      <c r="P68" s="23">
        <v>0.15726060160078206</v>
      </c>
      <c r="Q68" s="23">
        <v>0.49028788061009865</v>
      </c>
      <c r="R68" s="23">
        <f t="shared" si="2"/>
        <v>2.3392227792921609</v>
      </c>
      <c r="S68" s="23"/>
    </row>
    <row r="69" spans="1:19" x14ac:dyDescent="0.6">
      <c r="A69" s="24">
        <v>1959</v>
      </c>
      <c r="B69" s="38">
        <v>9165423.0475705061</v>
      </c>
      <c r="C69" s="38">
        <v>4122288.3387762937</v>
      </c>
      <c r="D69" s="38">
        <v>1323288.0535615431</v>
      </c>
      <c r="E69" s="38">
        <v>4048015.8551850156</v>
      </c>
      <c r="F69" s="13">
        <f t="shared" si="0"/>
        <v>18659015.295093361</v>
      </c>
      <c r="H69" s="8">
        <v>3.0606889880342116</v>
      </c>
      <c r="I69" s="8">
        <v>1.3765913977466502</v>
      </c>
      <c r="J69" s="8">
        <v>0.44189702455759822</v>
      </c>
      <c r="K69" s="8">
        <v>1.3517889449343892</v>
      </c>
      <c r="L69" s="7">
        <f t="shared" si="1"/>
        <v>6.2309663552728498</v>
      </c>
      <c r="N69" s="23">
        <v>1.1437549260554098</v>
      </c>
      <c r="O69" s="23">
        <v>0.51442116415411299</v>
      </c>
      <c r="P69" s="23">
        <v>0.16513337376745316</v>
      </c>
      <c r="Q69" s="23">
        <v>0.50515268647043299</v>
      </c>
      <c r="R69" s="23">
        <f t="shared" si="2"/>
        <v>2.3284621504474092</v>
      </c>
      <c r="S69" s="23"/>
    </row>
    <row r="70" spans="1:19" x14ac:dyDescent="0.6">
      <c r="A70" s="24">
        <v>1960</v>
      </c>
      <c r="B70" s="38">
        <v>9273491.7625488248</v>
      </c>
      <c r="C70" s="38">
        <v>4428089.1489194464</v>
      </c>
      <c r="D70" s="38">
        <v>1494118.6671015422</v>
      </c>
      <c r="E70" s="38">
        <v>4270947.724446917</v>
      </c>
      <c r="F70" s="13">
        <f t="shared" si="0"/>
        <v>19466647.30301673</v>
      </c>
      <c r="H70" s="8">
        <v>3.0503718632578463</v>
      </c>
      <c r="I70" s="8">
        <v>1.4565515227404233</v>
      </c>
      <c r="J70" s="8">
        <v>0.49146725518222678</v>
      </c>
      <c r="K70" s="8">
        <v>1.4048622785984179</v>
      </c>
      <c r="L70" s="7">
        <f t="shared" si="1"/>
        <v>6.4032529197789136</v>
      </c>
      <c r="N70" s="23">
        <v>1.0996901833086408</v>
      </c>
      <c r="O70" s="23">
        <v>0.52510168689078951</v>
      </c>
      <c r="P70" s="23">
        <v>0.17717896052329687</v>
      </c>
      <c r="Q70" s="23">
        <v>0.50646718693021797</v>
      </c>
      <c r="R70" s="23">
        <f t="shared" si="2"/>
        <v>2.3084380176529455</v>
      </c>
      <c r="S70" s="23"/>
    </row>
    <row r="71" spans="1:19" x14ac:dyDescent="0.6">
      <c r="A71" s="24">
        <v>1961</v>
      </c>
      <c r="B71" s="38">
        <v>9381560.4775271453</v>
      </c>
      <c r="C71" s="38">
        <v>4483341.0446410226</v>
      </c>
      <c r="D71" s="38">
        <v>1513584.5726961929</v>
      </c>
      <c r="E71" s="38">
        <v>4461813.7042569807</v>
      </c>
      <c r="F71" s="13">
        <f t="shared" si="0"/>
        <v>19840299.799121339</v>
      </c>
      <c r="H71" s="8">
        <v>3.0402508527091632</v>
      </c>
      <c r="I71" s="8">
        <v>1.4529013021454906</v>
      </c>
      <c r="J71" s="8">
        <v>0.49050227825211185</v>
      </c>
      <c r="K71" s="8">
        <v>1.4459250091166367</v>
      </c>
      <c r="L71" s="7">
        <f t="shared" si="1"/>
        <v>6.4295794422234032</v>
      </c>
      <c r="N71" s="23">
        <v>1.0752113916433439</v>
      </c>
      <c r="O71" s="23">
        <v>0.51383129441711251</v>
      </c>
      <c r="P71" s="23">
        <v>0.17347043476156718</v>
      </c>
      <c r="Q71" s="23">
        <v>0.51136406717190619</v>
      </c>
      <c r="R71" s="23">
        <f t="shared" si="2"/>
        <v>2.2738771879939299</v>
      </c>
      <c r="S71" s="23"/>
    </row>
    <row r="72" spans="1:19" x14ac:dyDescent="0.6">
      <c r="A72" s="24">
        <v>1962</v>
      </c>
      <c r="B72" s="38">
        <v>9462723.1476573516</v>
      </c>
      <c r="C72" s="38">
        <v>4751874.6821011491</v>
      </c>
      <c r="D72" s="38">
        <v>1565621.544973053</v>
      </c>
      <c r="E72" s="38">
        <v>4713169.4296580618</v>
      </c>
      <c r="F72" s="13">
        <f t="shared" si="0"/>
        <v>20493388.804389615</v>
      </c>
      <c r="H72" s="8">
        <v>3.0116485264378636</v>
      </c>
      <c r="I72" s="8">
        <v>1.5123528566626436</v>
      </c>
      <c r="J72" s="8">
        <v>0.49828170446313497</v>
      </c>
      <c r="K72" s="8">
        <v>1.5000343501749538</v>
      </c>
      <c r="L72" s="7">
        <f t="shared" si="1"/>
        <v>6.5223174377385966</v>
      </c>
      <c r="N72" s="23">
        <v>1.0357093814043508</v>
      </c>
      <c r="O72" s="23">
        <v>0.52009988147316655</v>
      </c>
      <c r="P72" s="23">
        <v>0.17135964949569515</v>
      </c>
      <c r="Q72" s="23">
        <v>0.51586353296762522</v>
      </c>
      <c r="R72" s="23">
        <f t="shared" si="2"/>
        <v>2.2430324453408375</v>
      </c>
      <c r="S72" s="23"/>
    </row>
    <row r="73" spans="1:19" x14ac:dyDescent="0.6">
      <c r="A73" s="24">
        <v>1963</v>
      </c>
      <c r="B73" s="38">
        <v>9588093.8621987887</v>
      </c>
      <c r="C73" s="38">
        <v>5119111.5065636635</v>
      </c>
      <c r="D73" s="38">
        <v>1675495.7490170987</v>
      </c>
      <c r="E73" s="38">
        <v>4934539.0782555426</v>
      </c>
      <c r="F73" s="13">
        <f t="shared" si="0"/>
        <v>21317240.196035095</v>
      </c>
      <c r="H73" s="8">
        <v>2.9963308313732857</v>
      </c>
      <c r="I73" s="8">
        <v>1.5997498415015456</v>
      </c>
      <c r="J73" s="8">
        <v>0.52360142096726625</v>
      </c>
      <c r="K73" s="8">
        <v>1.5420699662824024</v>
      </c>
      <c r="L73" s="7">
        <f t="shared" si="1"/>
        <v>6.6617520601244999</v>
      </c>
      <c r="N73" s="23">
        <v>1.0057210905547931</v>
      </c>
      <c r="O73" s="23">
        <v>0.53695744754339958</v>
      </c>
      <c r="P73" s="23">
        <v>0.17574727950514296</v>
      </c>
      <c r="Q73" s="23">
        <v>0.51759714647081279</v>
      </c>
      <c r="R73" s="23">
        <f t="shared" si="2"/>
        <v>2.2360229640741482</v>
      </c>
      <c r="S73" s="23"/>
    </row>
    <row r="74" spans="1:19" x14ac:dyDescent="0.6">
      <c r="A74" s="24">
        <v>1964</v>
      </c>
      <c r="B74" s="38">
        <v>9979398.5234090034</v>
      </c>
      <c r="C74" s="38">
        <v>5392266.5994129945</v>
      </c>
      <c r="D74" s="38">
        <v>1808593.6018583355</v>
      </c>
      <c r="E74" s="38">
        <v>5296167.6888827803</v>
      </c>
      <c r="F74" s="13">
        <f t="shared" si="0"/>
        <v>22476426.413563114</v>
      </c>
      <c r="H74" s="8">
        <v>3.060630050392724</v>
      </c>
      <c r="I74" s="8">
        <v>1.6537803511082401</v>
      </c>
      <c r="J74" s="8">
        <v>0.55468632842059384</v>
      </c>
      <c r="K74" s="8">
        <v>1.6243073109556858</v>
      </c>
      <c r="L74" s="7">
        <f t="shared" si="1"/>
        <v>6.8934040408772441</v>
      </c>
      <c r="N74" s="23">
        <v>0.97599118852435729</v>
      </c>
      <c r="O74" s="23">
        <v>0.52736692245090211</v>
      </c>
      <c r="P74" s="23">
        <v>0.17688154400234088</v>
      </c>
      <c r="Q74" s="23">
        <v>0.51796839109810866</v>
      </c>
      <c r="R74" s="23">
        <f t="shared" si="2"/>
        <v>2.1982080460757087</v>
      </c>
      <c r="S74" s="23"/>
    </row>
    <row r="75" spans="1:19" x14ac:dyDescent="0.6">
      <c r="A75" s="24">
        <v>1965</v>
      </c>
      <c r="B75" s="38">
        <v>10185146.50506467</v>
      </c>
      <c r="C75" s="38">
        <v>5289278.3154916447</v>
      </c>
      <c r="D75" s="38">
        <v>1920842.9400609948</v>
      </c>
      <c r="E75" s="38">
        <v>5513438.7753559938</v>
      </c>
      <c r="F75" s="13">
        <f t="shared" ref="F75:F119" si="3">SUM(B75:E75)</f>
        <v>22908706.535973303</v>
      </c>
      <c r="H75" s="8">
        <v>3.0635539195975809</v>
      </c>
      <c r="I75" s="8">
        <v>1.5909431746719909</v>
      </c>
      <c r="J75" s="8">
        <v>0.57776350247186137</v>
      </c>
      <c r="K75" s="8">
        <v>1.6583676005351573</v>
      </c>
      <c r="L75" s="7">
        <f t="shared" ref="L75:L119" si="4">SUM(H75:K75)</f>
        <v>6.890628197276591</v>
      </c>
      <c r="N75" s="23">
        <v>0.94655276374213437</v>
      </c>
      <c r="O75" s="23">
        <v>0.49155709299226896</v>
      </c>
      <c r="P75" s="23">
        <v>0.17851281694624552</v>
      </c>
      <c r="Q75" s="23">
        <v>0.5123893611094531</v>
      </c>
      <c r="R75" s="23">
        <f t="shared" ref="R75:R119" si="5">SUM(N75:Q75)</f>
        <v>2.1290120347901018</v>
      </c>
      <c r="S75" s="23"/>
    </row>
    <row r="76" spans="1:19" x14ac:dyDescent="0.6">
      <c r="A76" s="24">
        <v>1966</v>
      </c>
      <c r="B76" s="38">
        <v>10546533.442362519</v>
      </c>
      <c r="C76" s="38">
        <v>5524099.8799051577</v>
      </c>
      <c r="D76" s="38">
        <v>1968532.1774504522</v>
      </c>
      <c r="E76" s="38">
        <v>5839496.2629593899</v>
      </c>
      <c r="F76" s="13">
        <f t="shared" si="3"/>
        <v>23878661.762677521</v>
      </c>
      <c r="H76" s="8">
        <v>3.1089029165088422</v>
      </c>
      <c r="I76" s="8">
        <v>1.6283919566158587</v>
      </c>
      <c r="J76" s="8">
        <v>0.58028312915928926</v>
      </c>
      <c r="K76" s="8">
        <v>1.7213643764628481</v>
      </c>
      <c r="L76" s="7">
        <f t="shared" si="4"/>
        <v>7.0389423787468379</v>
      </c>
      <c r="N76" s="23">
        <v>0.92946121177963903</v>
      </c>
      <c r="O76" s="23">
        <v>0.48683641847138026</v>
      </c>
      <c r="P76" s="23">
        <v>0.1734858485093321</v>
      </c>
      <c r="Q76" s="23">
        <v>0.51463215874818102</v>
      </c>
      <c r="R76" s="23">
        <f t="shared" si="5"/>
        <v>2.1044156375085326</v>
      </c>
      <c r="S76" s="23"/>
    </row>
    <row r="77" spans="1:19" x14ac:dyDescent="0.6">
      <c r="A77" s="24">
        <v>1967</v>
      </c>
      <c r="B77" s="38">
        <v>10814871.823989572</v>
      </c>
      <c r="C77" s="38">
        <v>5560445.1614120742</v>
      </c>
      <c r="D77" s="38">
        <v>2000231.3373097612</v>
      </c>
      <c r="E77" s="38">
        <v>6015114.6745691597</v>
      </c>
      <c r="F77" s="13">
        <f t="shared" si="3"/>
        <v>24390662.997280568</v>
      </c>
      <c r="H77" s="8">
        <v>3.1225755574042648</v>
      </c>
      <c r="I77" s="8">
        <v>1.6054661055526993</v>
      </c>
      <c r="J77" s="8">
        <v>0.57752635303387467</v>
      </c>
      <c r="K77" s="8">
        <v>1.7367427338463368</v>
      </c>
      <c r="L77" s="7">
        <f t="shared" si="4"/>
        <v>7.042310749837176</v>
      </c>
      <c r="N77" s="23">
        <v>0.91891663101350496</v>
      </c>
      <c r="O77" s="23">
        <v>0.47245918563047917</v>
      </c>
      <c r="P77" s="23">
        <v>0.16995539768221443</v>
      </c>
      <c r="Q77" s="23">
        <v>0.51109148604555088</v>
      </c>
      <c r="R77" s="23">
        <f t="shared" si="5"/>
        <v>2.0724227003717495</v>
      </c>
      <c r="S77" s="23"/>
    </row>
    <row r="78" spans="1:19" x14ac:dyDescent="0.6">
      <c r="A78" s="24">
        <v>1968</v>
      </c>
      <c r="B78" s="38">
        <v>11037716.156499049</v>
      </c>
      <c r="C78" s="38">
        <v>5887386.2358307736</v>
      </c>
      <c r="D78" s="38">
        <v>2149967.039080834</v>
      </c>
      <c r="E78" s="38">
        <v>6388305.8907897593</v>
      </c>
      <c r="F78" s="13">
        <f t="shared" si="3"/>
        <v>25463375.322200414</v>
      </c>
      <c r="H78" s="8">
        <v>3.1205994137767488</v>
      </c>
      <c r="I78" s="8">
        <v>1.6644905318926149</v>
      </c>
      <c r="J78" s="8">
        <v>0.60784185665479251</v>
      </c>
      <c r="K78" s="8">
        <v>1.8061112765693896</v>
      </c>
      <c r="L78" s="7">
        <f t="shared" si="4"/>
        <v>7.1990430788935456</v>
      </c>
      <c r="N78" s="23">
        <v>0.88893685446074355</v>
      </c>
      <c r="O78" s="23">
        <v>0.47414832264855555</v>
      </c>
      <c r="P78" s="23">
        <v>0.1731503972213928</v>
      </c>
      <c r="Q78" s="23">
        <v>0.5144905398340025</v>
      </c>
      <c r="R78" s="23">
        <f t="shared" si="5"/>
        <v>2.0507261141646946</v>
      </c>
      <c r="S78" s="23"/>
    </row>
    <row r="79" spans="1:19" x14ac:dyDescent="0.6">
      <c r="A79" s="24">
        <v>1969</v>
      </c>
      <c r="B79" s="38">
        <v>11149727.809498377</v>
      </c>
      <c r="C79" s="38">
        <v>6070447.2812475348</v>
      </c>
      <c r="D79" s="38">
        <v>2290181.4130687341</v>
      </c>
      <c r="E79" s="38">
        <v>6664265.1793359006</v>
      </c>
      <c r="F79" s="13">
        <f t="shared" si="3"/>
        <v>26174621.683150545</v>
      </c>
      <c r="H79" s="8">
        <v>3.0868340157751804</v>
      </c>
      <c r="I79" s="8">
        <v>1.680620682305956</v>
      </c>
      <c r="J79" s="8">
        <v>0.63404327073655153</v>
      </c>
      <c r="K79" s="8">
        <v>1.8450208648318245</v>
      </c>
      <c r="L79" s="7">
        <f t="shared" si="4"/>
        <v>7.246518833649513</v>
      </c>
      <c r="N79" s="23">
        <v>0.85100000000978138</v>
      </c>
      <c r="O79" s="23">
        <v>0.46332526898102316</v>
      </c>
      <c r="P79" s="23">
        <v>0.17479748526987371</v>
      </c>
      <c r="Q79" s="23">
        <v>0.50864826160587562</v>
      </c>
      <c r="R79" s="23">
        <f t="shared" si="5"/>
        <v>1.9977710158665538</v>
      </c>
      <c r="S79" s="23"/>
    </row>
    <row r="80" spans="1:19" x14ac:dyDescent="0.6">
      <c r="A80" s="24">
        <v>1970</v>
      </c>
      <c r="B80" s="38">
        <v>11465147.619329097</v>
      </c>
      <c r="C80" s="38">
        <v>6315987.8514454123</v>
      </c>
      <c r="D80" s="38">
        <v>2501804.5443440005</v>
      </c>
      <c r="E80" s="38">
        <v>7029549.8513117237</v>
      </c>
      <c r="F80" s="13">
        <f t="shared" si="3"/>
        <v>27312489.866430234</v>
      </c>
      <c r="H80" s="8">
        <v>3.1091959474204436</v>
      </c>
      <c r="I80" s="8">
        <v>1.7128121227644484</v>
      </c>
      <c r="J80" s="8">
        <v>0.67845620560510456</v>
      </c>
      <c r="K80" s="8">
        <v>1.906320671618823</v>
      </c>
      <c r="L80" s="7">
        <f t="shared" si="4"/>
        <v>7.406784947408819</v>
      </c>
      <c r="N80" s="23">
        <v>0.83286338252246639</v>
      </c>
      <c r="O80" s="23">
        <v>0.45881267128712733</v>
      </c>
      <c r="P80" s="23">
        <v>0.18173873240843202</v>
      </c>
      <c r="Q80" s="23">
        <v>0.51064799696982699</v>
      </c>
      <c r="R80" s="23">
        <f t="shared" si="5"/>
        <v>1.9840627831878528</v>
      </c>
      <c r="S80" s="23"/>
    </row>
    <row r="81" spans="1:19" x14ac:dyDescent="0.6">
      <c r="A81" s="24">
        <v>1971</v>
      </c>
      <c r="B81" s="38">
        <v>11735285.109209519</v>
      </c>
      <c r="C81" s="38">
        <v>6512836.7400000002</v>
      </c>
      <c r="D81" s="38">
        <v>2526705.7259291727</v>
      </c>
      <c r="E81" s="38">
        <v>7211348.6386876022</v>
      </c>
      <c r="F81" s="13">
        <f t="shared" si="3"/>
        <v>27986176.213826291</v>
      </c>
      <c r="H81" s="8">
        <v>3.1183579020510028</v>
      </c>
      <c r="I81" s="8">
        <v>1.7306231356074073</v>
      </c>
      <c r="J81" s="8">
        <v>0.67140872107362781</v>
      </c>
      <c r="K81" s="8">
        <v>1.9162351662209403</v>
      </c>
      <c r="L81" s="7">
        <f t="shared" si="4"/>
        <v>7.4366249249529783</v>
      </c>
      <c r="N81" s="23">
        <v>0.81856040789602402</v>
      </c>
      <c r="O81" s="23">
        <v>0.45428383280359125</v>
      </c>
      <c r="P81" s="23">
        <v>0.17624295024811032</v>
      </c>
      <c r="Q81" s="23">
        <v>0.50300648243578783</v>
      </c>
      <c r="R81" s="23">
        <f t="shared" si="5"/>
        <v>1.9520936733835135</v>
      </c>
      <c r="S81" s="23"/>
    </row>
    <row r="82" spans="1:19" x14ac:dyDescent="0.6">
      <c r="A82" s="24">
        <v>1972</v>
      </c>
      <c r="B82" s="38">
        <v>11802656.464699216</v>
      </c>
      <c r="C82" s="38">
        <v>6746642.9000000004</v>
      </c>
      <c r="D82" s="38">
        <v>2620613.1715545557</v>
      </c>
      <c r="E82" s="38">
        <v>7943741</v>
      </c>
      <c r="F82" s="13">
        <f t="shared" si="3"/>
        <v>29113653.536253769</v>
      </c>
      <c r="H82" s="8">
        <v>3.0740199247240949</v>
      </c>
      <c r="I82" s="8">
        <v>1.7571734601975371</v>
      </c>
      <c r="J82" s="8">
        <v>0.68254270794438521</v>
      </c>
      <c r="K82" s="8">
        <v>2.0689594909318592</v>
      </c>
      <c r="L82" s="7">
        <f t="shared" si="4"/>
        <v>7.5826955837978769</v>
      </c>
      <c r="N82" s="23">
        <v>0.78587885418057168</v>
      </c>
      <c r="O82" s="23">
        <v>0.44922463071559116</v>
      </c>
      <c r="P82" s="23">
        <v>0.17449330010337574</v>
      </c>
      <c r="Q82" s="23">
        <v>0.52893330358796675</v>
      </c>
      <c r="R82" s="23">
        <f t="shared" si="5"/>
        <v>1.9385300885875054</v>
      </c>
      <c r="S82" s="23"/>
    </row>
    <row r="83" spans="1:19" x14ac:dyDescent="0.6">
      <c r="A83" s="24">
        <v>1973</v>
      </c>
      <c r="B83" s="38">
        <v>12269204.663560232</v>
      </c>
      <c r="C83" s="38">
        <v>7060627.1799999997</v>
      </c>
      <c r="D83" s="38">
        <v>2797121.2312630434</v>
      </c>
      <c r="E83" s="38">
        <v>8318740.4000000004</v>
      </c>
      <c r="F83" s="13">
        <f t="shared" si="3"/>
        <v>30445693.474823274</v>
      </c>
      <c r="H83" s="8">
        <v>3.1332978178269468</v>
      </c>
      <c r="I83" s="8">
        <v>1.8031362539162377</v>
      </c>
      <c r="J83" s="8">
        <v>0.71432615971789892</v>
      </c>
      <c r="K83" s="8">
        <v>2.1244320114573259</v>
      </c>
      <c r="L83" s="7">
        <f t="shared" si="4"/>
        <v>7.7751922429184095</v>
      </c>
      <c r="N83" s="23">
        <v>0.76609980705067715</v>
      </c>
      <c r="O83" s="23">
        <v>0.44087170021053029</v>
      </c>
      <c r="P83" s="23">
        <v>0.1746546817278504</v>
      </c>
      <c r="Q83" s="23">
        <v>0.51942938357467938</v>
      </c>
      <c r="R83" s="23">
        <f t="shared" si="5"/>
        <v>1.9010555725637373</v>
      </c>
      <c r="S83" s="23"/>
    </row>
    <row r="84" spans="1:19" x14ac:dyDescent="0.6">
      <c r="A84" s="24">
        <v>1974</v>
      </c>
      <c r="B84" s="38">
        <v>12453683.706444189</v>
      </c>
      <c r="C84" s="38">
        <v>7109564.0800000001</v>
      </c>
      <c r="D84" s="38">
        <v>2928313.9097932475</v>
      </c>
      <c r="E84" s="38">
        <v>8444120.9000000004</v>
      </c>
      <c r="F84" s="13">
        <f t="shared" si="3"/>
        <v>30935682.596237436</v>
      </c>
      <c r="H84" s="8">
        <v>3.1198423421116988</v>
      </c>
      <c r="I84" s="8">
        <v>1.7810568803239268</v>
      </c>
      <c r="J84" s="8">
        <v>0.7335883857432679</v>
      </c>
      <c r="K84" s="8">
        <v>2.1153842145596173</v>
      </c>
      <c r="L84" s="7">
        <f t="shared" si="4"/>
        <v>7.7498718227385108</v>
      </c>
      <c r="N84" s="23">
        <v>0.75992719832587352</v>
      </c>
      <c r="O84" s="23">
        <v>0.43382755174976861</v>
      </c>
      <c r="P84" s="23">
        <v>0.17868651860303611</v>
      </c>
      <c r="Q84" s="23">
        <v>0.51526257524442387</v>
      </c>
      <c r="R84" s="23">
        <f t="shared" si="5"/>
        <v>1.8877038439231022</v>
      </c>
      <c r="S84" s="23"/>
    </row>
    <row r="85" spans="1:19" x14ac:dyDescent="0.6">
      <c r="A85" s="24">
        <v>1975</v>
      </c>
      <c r="B85" s="38">
        <v>12518891.020880884</v>
      </c>
      <c r="C85" s="38">
        <v>7172473.6600000001</v>
      </c>
      <c r="D85" s="38">
        <v>2887869.0352434427</v>
      </c>
      <c r="E85" s="38">
        <v>8442885.4000000004</v>
      </c>
      <c r="F85" s="13">
        <f t="shared" si="3"/>
        <v>31022119.116124325</v>
      </c>
      <c r="H85" s="8">
        <v>3.0779077177458287</v>
      </c>
      <c r="I85" s="8">
        <v>1.7634319203370854</v>
      </c>
      <c r="J85" s="8">
        <v>0.71001451938428595</v>
      </c>
      <c r="K85" s="8">
        <v>2.0757766873566936</v>
      </c>
      <c r="L85" s="7">
        <f t="shared" si="4"/>
        <v>7.6271308448238937</v>
      </c>
      <c r="N85" s="23">
        <v>0.75243102902246695</v>
      </c>
      <c r="O85" s="23">
        <v>0.4310918377377646</v>
      </c>
      <c r="P85" s="23">
        <v>0.17357146621422112</v>
      </c>
      <c r="Q85" s="23">
        <v>0.50744821876353075</v>
      </c>
      <c r="R85" s="23">
        <f t="shared" si="5"/>
        <v>1.8645425517379834</v>
      </c>
      <c r="S85" s="23"/>
    </row>
    <row r="86" spans="1:19" x14ac:dyDescent="0.6">
      <c r="A86" s="24">
        <v>1976</v>
      </c>
      <c r="B86" s="38">
        <v>12865604.005604431</v>
      </c>
      <c r="C86" s="38">
        <v>7508057</v>
      </c>
      <c r="D86" s="38">
        <v>2963400.5691093551</v>
      </c>
      <c r="E86" s="38">
        <v>8637710.6999999993</v>
      </c>
      <c r="F86" s="13">
        <f t="shared" si="3"/>
        <v>31974772.274713784</v>
      </c>
      <c r="H86" s="8">
        <v>3.1059555514579276</v>
      </c>
      <c r="I86" s="8">
        <v>1.8125609423120888</v>
      </c>
      <c r="J86" s="8">
        <v>0.71541067522436674</v>
      </c>
      <c r="K86" s="8">
        <v>2.0852767960886833</v>
      </c>
      <c r="L86" s="7">
        <f t="shared" si="4"/>
        <v>7.7192039650830662</v>
      </c>
      <c r="N86" s="23">
        <v>0.73730374190467796</v>
      </c>
      <c r="O86" s="23">
        <v>0.43027272704197772</v>
      </c>
      <c r="P86" s="23">
        <v>0.1698269531236152</v>
      </c>
      <c r="Q86" s="23">
        <v>0.49501107121172233</v>
      </c>
      <c r="R86" s="23">
        <f t="shared" si="5"/>
        <v>1.8324144932819932</v>
      </c>
      <c r="S86" s="23"/>
    </row>
    <row r="87" spans="1:19" x14ac:dyDescent="0.6">
      <c r="A87" s="24">
        <v>1977</v>
      </c>
      <c r="B87" s="38">
        <v>12925365.352191374</v>
      </c>
      <c r="C87" s="38">
        <v>7774373.04</v>
      </c>
      <c r="D87" s="38">
        <v>2978297.5415838426</v>
      </c>
      <c r="E87" s="38">
        <v>9120099.0999999996</v>
      </c>
      <c r="F87" s="13">
        <f t="shared" si="3"/>
        <v>32798135.033775218</v>
      </c>
      <c r="H87" s="8">
        <v>3.065350319247834</v>
      </c>
      <c r="I87" s="8">
        <v>1.8437526700996039</v>
      </c>
      <c r="J87" s="8">
        <v>0.70632628719939783</v>
      </c>
      <c r="K87" s="8">
        <v>2.1629020090342865</v>
      </c>
      <c r="L87" s="7">
        <f t="shared" si="4"/>
        <v>7.7783312855811229</v>
      </c>
      <c r="N87" s="23">
        <v>0.71186316368682911</v>
      </c>
      <c r="O87" s="23">
        <v>0.42817279335146258</v>
      </c>
      <c r="P87" s="23">
        <v>0.16402942992966382</v>
      </c>
      <c r="Q87" s="23">
        <v>0.50228851731163637</v>
      </c>
      <c r="R87" s="23">
        <f t="shared" si="5"/>
        <v>1.8063539042795917</v>
      </c>
      <c r="S87" s="23"/>
    </row>
    <row r="88" spans="1:19" x14ac:dyDescent="0.6">
      <c r="A88" s="24">
        <v>1978</v>
      </c>
      <c r="B88" s="38">
        <v>13254159.451752523</v>
      </c>
      <c r="C88" s="38">
        <v>7917111.7599999998</v>
      </c>
      <c r="D88" s="38">
        <v>3026651.1076210812</v>
      </c>
      <c r="E88" s="38">
        <v>9650125.9000000004</v>
      </c>
      <c r="F88" s="13">
        <f t="shared" si="3"/>
        <v>33848048.219373606</v>
      </c>
      <c r="H88" s="8">
        <v>3.0887938192596174</v>
      </c>
      <c r="I88" s="8">
        <v>1.8450303061234239</v>
      </c>
      <c r="J88" s="8">
        <v>0.70534093605152337</v>
      </c>
      <c r="K88" s="8">
        <v>2.248897739875606</v>
      </c>
      <c r="L88" s="7">
        <f t="shared" si="4"/>
        <v>7.8880628013101699</v>
      </c>
      <c r="N88" s="23">
        <v>0.69922758962636311</v>
      </c>
      <c r="O88" s="23">
        <v>0.41766986378116627</v>
      </c>
      <c r="P88" s="23">
        <v>0.15967198571328656</v>
      </c>
      <c r="Q88" s="23">
        <v>0.50909560106097385</v>
      </c>
      <c r="R88" s="23">
        <f t="shared" si="5"/>
        <v>1.7856650401817897</v>
      </c>
      <c r="S88" s="23"/>
    </row>
    <row r="89" spans="1:19" x14ac:dyDescent="0.6">
      <c r="A89" s="24">
        <v>1979</v>
      </c>
      <c r="B89" s="38">
        <v>13337972.429078119</v>
      </c>
      <c r="C89" s="38">
        <v>8272770.6799999997</v>
      </c>
      <c r="D89" s="38">
        <v>3134842.9262020653</v>
      </c>
      <c r="E89" s="38">
        <v>9928691.5999999996</v>
      </c>
      <c r="F89" s="13">
        <f t="shared" si="3"/>
        <v>34674277.635280184</v>
      </c>
      <c r="H89" s="8">
        <v>3.0546420736885529</v>
      </c>
      <c r="I89" s="8">
        <v>1.8946173055518658</v>
      </c>
      <c r="J89" s="8">
        <v>0.71793693889376409</v>
      </c>
      <c r="K89" s="8">
        <v>2.2738537854463341</v>
      </c>
      <c r="L89" s="7">
        <f t="shared" si="4"/>
        <v>7.9410501035805172</v>
      </c>
      <c r="N89" s="23">
        <v>0.67935933876121346</v>
      </c>
      <c r="O89" s="23">
        <v>0.42136719420977276</v>
      </c>
      <c r="P89" s="23">
        <v>0.15967080669787381</v>
      </c>
      <c r="Q89" s="23">
        <v>0.50571024914063489</v>
      </c>
      <c r="R89" s="23">
        <f t="shared" si="5"/>
        <v>1.766107588809495</v>
      </c>
      <c r="S89" s="23"/>
    </row>
    <row r="90" spans="1:19" x14ac:dyDescent="0.6">
      <c r="A90" s="24">
        <v>1980</v>
      </c>
      <c r="B90" s="38">
        <v>13382483.626943592</v>
      </c>
      <c r="C90" s="38">
        <v>8229302.6799999997</v>
      </c>
      <c r="D90" s="38">
        <v>3152844.2984927692</v>
      </c>
      <c r="E90" s="38">
        <v>10053596.800000001</v>
      </c>
      <c r="F90" s="13">
        <f t="shared" si="3"/>
        <v>34818227.405436367</v>
      </c>
      <c r="H90" s="8">
        <v>3.0117042242775707</v>
      </c>
      <c r="I90" s="8">
        <v>1.8519899844536682</v>
      </c>
      <c r="J90" s="8">
        <v>0.7095420220161911</v>
      </c>
      <c r="K90" s="8">
        <v>2.2625441432098898</v>
      </c>
      <c r="L90" s="7">
        <f t="shared" si="4"/>
        <v>7.83578037395732</v>
      </c>
      <c r="N90" s="23">
        <v>0.66812217954638642</v>
      </c>
      <c r="O90" s="23">
        <v>0.41084897213240534</v>
      </c>
      <c r="P90" s="23">
        <v>0.15740614845500725</v>
      </c>
      <c r="Q90" s="23">
        <v>0.50192708569976185</v>
      </c>
      <c r="R90" s="23">
        <f t="shared" si="5"/>
        <v>1.7383043858335609</v>
      </c>
      <c r="S90" s="23"/>
    </row>
    <row r="91" spans="1:19" x14ac:dyDescent="0.6">
      <c r="A91" s="24">
        <v>1981</v>
      </c>
      <c r="B91" s="38">
        <v>13725566.082926147</v>
      </c>
      <c r="C91" s="38">
        <v>8112276.9199999999</v>
      </c>
      <c r="D91" s="38">
        <v>3153914.8748109266</v>
      </c>
      <c r="E91" s="38">
        <v>10031367.199999999</v>
      </c>
      <c r="F91" s="13">
        <f t="shared" si="3"/>
        <v>35023125.077737078</v>
      </c>
      <c r="H91" s="8">
        <v>3.0351510354747857</v>
      </c>
      <c r="I91" s="8">
        <v>1.7938776109514789</v>
      </c>
      <c r="J91" s="8">
        <v>0.6974290124171646</v>
      </c>
      <c r="K91" s="8">
        <v>2.2182483666143176</v>
      </c>
      <c r="L91" s="7">
        <f t="shared" si="4"/>
        <v>7.7447060254577469</v>
      </c>
      <c r="N91" s="23">
        <v>0.67207691066665942</v>
      </c>
      <c r="O91" s="23">
        <v>0.39722033888628644</v>
      </c>
      <c r="P91" s="23">
        <v>0.15443249136407636</v>
      </c>
      <c r="Q91" s="23">
        <v>0.49118923305650392</v>
      </c>
      <c r="R91" s="23">
        <f t="shared" si="5"/>
        <v>1.7149189739735262</v>
      </c>
      <c r="S91" s="23"/>
    </row>
    <row r="92" spans="1:19" x14ac:dyDescent="0.6">
      <c r="A92" s="24">
        <v>1982</v>
      </c>
      <c r="B92" s="38">
        <v>14069803.501996547</v>
      </c>
      <c r="C92" s="38">
        <v>8302554.7199999997</v>
      </c>
      <c r="D92" s="38">
        <v>2980962.1593678771</v>
      </c>
      <c r="E92" s="38">
        <v>9996530.3000000007</v>
      </c>
      <c r="F92" s="13">
        <f t="shared" si="3"/>
        <v>35349850.681364425</v>
      </c>
      <c r="H92" s="8">
        <v>3.0570187593189959</v>
      </c>
      <c r="I92" s="8">
        <v>1.8039388770220439</v>
      </c>
      <c r="J92" s="8">
        <v>0.64768902001470885</v>
      </c>
      <c r="K92" s="8">
        <v>2.1719976864541328</v>
      </c>
      <c r="L92" s="7">
        <f t="shared" si="4"/>
        <v>7.680644342809881</v>
      </c>
      <c r="N92" s="23">
        <v>0.68140070481410098</v>
      </c>
      <c r="O92" s="23">
        <v>0.40209279661672914</v>
      </c>
      <c r="P92" s="23">
        <v>0.14436802305939797</v>
      </c>
      <c r="Q92" s="23">
        <v>0.48413204854985536</v>
      </c>
      <c r="R92" s="23">
        <f t="shared" si="5"/>
        <v>1.7119935730400835</v>
      </c>
      <c r="S92" s="23"/>
    </row>
    <row r="93" spans="1:19" x14ac:dyDescent="0.6">
      <c r="A93" s="24">
        <v>1983</v>
      </c>
      <c r="B93" s="38">
        <v>14159904.810000831</v>
      </c>
      <c r="C93" s="38">
        <v>8329941.7599999998</v>
      </c>
      <c r="D93" s="38">
        <v>2910036.5624964675</v>
      </c>
      <c r="E93" s="38">
        <v>10253706.300000001</v>
      </c>
      <c r="F93" s="13">
        <f t="shared" si="3"/>
        <v>35653589.4324973</v>
      </c>
      <c r="H93" s="8">
        <v>3.0227961799798675</v>
      </c>
      <c r="I93" s="8">
        <v>1.7782404945122858</v>
      </c>
      <c r="J93" s="8">
        <v>0.6212222131961882</v>
      </c>
      <c r="K93" s="8">
        <v>2.1889175563090304</v>
      </c>
      <c r="L93" s="7">
        <f t="shared" si="4"/>
        <v>7.6111764439973726</v>
      </c>
      <c r="N93" s="23">
        <v>0.66679920450216501</v>
      </c>
      <c r="O93" s="23">
        <v>0.39226242080345158</v>
      </c>
      <c r="P93" s="23">
        <v>0.13703553032181334</v>
      </c>
      <c r="Q93" s="23">
        <v>0.48285375472368286</v>
      </c>
      <c r="R93" s="23">
        <f t="shared" si="5"/>
        <v>1.6789509103511129</v>
      </c>
      <c r="S93" s="23"/>
    </row>
    <row r="94" spans="1:19" x14ac:dyDescent="0.6">
      <c r="A94" s="24">
        <v>1984</v>
      </c>
      <c r="B94" s="38">
        <v>14612944.972012429</v>
      </c>
      <c r="C94" s="38">
        <v>8704739.3599999994</v>
      </c>
      <c r="D94" s="38">
        <v>3131690.2873156834</v>
      </c>
      <c r="E94" s="38">
        <v>10552596.199999999</v>
      </c>
      <c r="F94" s="13">
        <f t="shared" si="3"/>
        <v>37001970.819328114</v>
      </c>
      <c r="H94" s="8">
        <v>3.0647685091726182</v>
      </c>
      <c r="I94" s="8">
        <v>1.8256423412377658</v>
      </c>
      <c r="J94" s="8">
        <v>0.65680845246658559</v>
      </c>
      <c r="K94" s="8">
        <v>2.2131927948621257</v>
      </c>
      <c r="L94" s="7">
        <f t="shared" si="4"/>
        <v>7.7604120977390956</v>
      </c>
      <c r="N94" s="23">
        <v>0.65811414784937328</v>
      </c>
      <c r="O94" s="23">
        <v>0.39202995269805402</v>
      </c>
      <c r="P94" s="23">
        <v>0.14103999492999439</v>
      </c>
      <c r="Q94" s="23">
        <v>0.47525073618374997</v>
      </c>
      <c r="R94" s="23">
        <f t="shared" si="5"/>
        <v>1.6664348316611715</v>
      </c>
      <c r="S94" s="23"/>
    </row>
    <row r="95" spans="1:19" x14ac:dyDescent="0.6">
      <c r="A95" s="24">
        <v>1985</v>
      </c>
      <c r="B95" s="38">
        <v>15299218.350355951</v>
      </c>
      <c r="C95" s="38">
        <v>8709862.5600000005</v>
      </c>
      <c r="D95" s="38">
        <v>3204319.1582945664</v>
      </c>
      <c r="E95" s="38">
        <v>10764796.5</v>
      </c>
      <c r="F95" s="13">
        <f t="shared" si="3"/>
        <v>37978196.568650514</v>
      </c>
      <c r="H95" s="8">
        <v>3.1522363478746662</v>
      </c>
      <c r="I95" s="8">
        <v>1.7945717694777468</v>
      </c>
      <c r="J95" s="8">
        <v>0.66021486128618356</v>
      </c>
      <c r="K95" s="8">
        <v>2.2179683973191024</v>
      </c>
      <c r="L95" s="7">
        <f t="shared" si="4"/>
        <v>7.8249913759576994</v>
      </c>
      <c r="N95" s="23">
        <v>0.66606380765248552</v>
      </c>
      <c r="O95" s="23">
        <v>0.3791908898867668</v>
      </c>
      <c r="P95" s="23">
        <v>0.13950261841042555</v>
      </c>
      <c r="Q95" s="23">
        <v>0.46865409599355984</v>
      </c>
      <c r="R95" s="23">
        <f t="shared" si="5"/>
        <v>1.6534114119432377</v>
      </c>
      <c r="S95" s="23"/>
    </row>
    <row r="96" spans="1:19" x14ac:dyDescent="0.6">
      <c r="A96" s="24">
        <v>1986</v>
      </c>
      <c r="B96" s="38">
        <v>15500737.488772837</v>
      </c>
      <c r="C96" s="38">
        <v>8954622.120000001</v>
      </c>
      <c r="D96" s="38">
        <v>3201180.0430732248</v>
      </c>
      <c r="E96" s="38">
        <v>11246177</v>
      </c>
      <c r="F96" s="13">
        <f t="shared" si="3"/>
        <v>38902716.651846066</v>
      </c>
      <c r="H96" s="8">
        <v>3.1373667064667234</v>
      </c>
      <c r="I96" s="8">
        <v>1.8124255912744067</v>
      </c>
      <c r="J96" s="8">
        <v>0.64792244213012307</v>
      </c>
      <c r="K96" s="8">
        <v>2.2762388770461741</v>
      </c>
      <c r="L96" s="7">
        <f t="shared" si="4"/>
        <v>7.8739536169174276</v>
      </c>
      <c r="N96" s="23">
        <v>0.65178669750725038</v>
      </c>
      <c r="O96" s="23">
        <v>0.37653070270027766</v>
      </c>
      <c r="P96" s="23">
        <v>0.13460563214569979</v>
      </c>
      <c r="Q96" s="23">
        <v>0.47288773013033636</v>
      </c>
      <c r="R96" s="23">
        <f t="shared" si="5"/>
        <v>1.6358107624835641</v>
      </c>
      <c r="S96" s="23"/>
    </row>
    <row r="97" spans="1:19" x14ac:dyDescent="0.6">
      <c r="A97" s="24">
        <v>1987</v>
      </c>
      <c r="B97" s="38">
        <v>15645364.599356696</v>
      </c>
      <c r="C97" s="38">
        <v>9143258.879999999</v>
      </c>
      <c r="D97" s="38">
        <v>3334663.6499686562</v>
      </c>
      <c r="E97" s="38">
        <v>11659544.9</v>
      </c>
      <c r="F97" s="13">
        <f t="shared" si="3"/>
        <v>39782832.029325351</v>
      </c>
      <c r="H97" s="8">
        <v>3.1106992636009538</v>
      </c>
      <c r="I97" s="8">
        <v>1.8179140846675028</v>
      </c>
      <c r="J97" s="8">
        <v>0.66301655640168899</v>
      </c>
      <c r="K97" s="8">
        <v>2.3182162041684586</v>
      </c>
      <c r="L97" s="7">
        <f t="shared" si="4"/>
        <v>7.9098461088386038</v>
      </c>
      <c r="N97" s="23">
        <v>0.63357540268662982</v>
      </c>
      <c r="O97" s="23">
        <v>0.37026583113328637</v>
      </c>
      <c r="P97" s="23">
        <v>0.13504069217666109</v>
      </c>
      <c r="Q97" s="23">
        <v>0.47216546525634095</v>
      </c>
      <c r="R97" s="23">
        <f t="shared" si="5"/>
        <v>1.6110473912529184</v>
      </c>
      <c r="S97" s="23"/>
    </row>
    <row r="98" spans="1:19" x14ac:dyDescent="0.6">
      <c r="A98" s="24">
        <v>1988</v>
      </c>
      <c r="B98" s="38">
        <v>15754109.00784629</v>
      </c>
      <c r="C98" s="38">
        <v>9370335.7799999993</v>
      </c>
      <c r="D98" s="38">
        <v>3583491.4513119869</v>
      </c>
      <c r="E98" s="38">
        <v>12255465.9</v>
      </c>
      <c r="F98" s="13">
        <f t="shared" si="3"/>
        <v>40963402.139158279</v>
      </c>
      <c r="H98" s="8">
        <v>3.0775087720985717</v>
      </c>
      <c r="I98" s="8">
        <v>1.8304615352157825</v>
      </c>
      <c r="J98" s="8">
        <v>0.70002222091140176</v>
      </c>
      <c r="K98" s="8">
        <v>2.3940613712029295</v>
      </c>
      <c r="L98" s="7">
        <f t="shared" si="4"/>
        <v>8.0020538994286845</v>
      </c>
      <c r="N98" s="23">
        <v>0.61173456730045495</v>
      </c>
      <c r="O98" s="23">
        <v>0.36385163394409575</v>
      </c>
      <c r="P98" s="23">
        <v>0.13914754501834573</v>
      </c>
      <c r="Q98" s="23">
        <v>0.47588169700159333</v>
      </c>
      <c r="R98" s="23">
        <f t="shared" si="5"/>
        <v>1.5906154432644897</v>
      </c>
      <c r="S98" s="23"/>
    </row>
    <row r="99" spans="1:19" x14ac:dyDescent="0.6">
      <c r="A99" s="24">
        <v>1989</v>
      </c>
      <c r="B99" s="38">
        <v>16213719.109115098</v>
      </c>
      <c r="C99" s="38">
        <v>9557286.5999999996</v>
      </c>
      <c r="D99" s="38">
        <v>3725853.2625916018</v>
      </c>
      <c r="E99" s="38">
        <v>11809740.300000001</v>
      </c>
      <c r="F99" s="13">
        <f t="shared" si="3"/>
        <v>41306599.2717067</v>
      </c>
      <c r="H99" s="8">
        <v>3.1130593718966737</v>
      </c>
      <c r="I99" s="8">
        <v>1.835013942193322</v>
      </c>
      <c r="J99" s="8">
        <v>0.71536964094202915</v>
      </c>
      <c r="K99" s="8">
        <v>2.2674885677470789</v>
      </c>
      <c r="L99" s="7">
        <f t="shared" si="4"/>
        <v>7.9309315227791037</v>
      </c>
      <c r="N99" s="23">
        <v>0.61008052853008399</v>
      </c>
      <c r="O99" s="23">
        <v>0.359616101710036</v>
      </c>
      <c r="P99" s="23">
        <v>0.14019427081289065</v>
      </c>
      <c r="Q99" s="23">
        <v>0.44437013837106354</v>
      </c>
      <c r="R99" s="23">
        <f t="shared" si="5"/>
        <v>1.5542610394240741</v>
      </c>
      <c r="S99" s="23"/>
    </row>
    <row r="100" spans="1:19" x14ac:dyDescent="0.6">
      <c r="A100" s="24">
        <v>1990</v>
      </c>
      <c r="B100" s="38">
        <v>16535212.088764947</v>
      </c>
      <c r="C100" s="38">
        <v>9526178.5199999996</v>
      </c>
      <c r="D100" s="38">
        <v>3697943.4339879919</v>
      </c>
      <c r="E100" s="38">
        <v>11845022.1</v>
      </c>
      <c r="F100" s="13">
        <f t="shared" si="3"/>
        <v>41604356.142752938</v>
      </c>
      <c r="H100" s="8">
        <v>3.1220609319472983</v>
      </c>
      <c r="I100" s="8">
        <v>1.7986651533944118</v>
      </c>
      <c r="J100" s="8">
        <v>0.69821933107525569</v>
      </c>
      <c r="K100" s="8">
        <v>2.2364926762318009</v>
      </c>
      <c r="L100" s="7">
        <f t="shared" si="4"/>
        <v>7.8554380926487664</v>
      </c>
      <c r="N100" s="23">
        <v>0.60938898913358452</v>
      </c>
      <c r="O100" s="23">
        <v>0.3510779461095177</v>
      </c>
      <c r="P100" s="23">
        <v>0.13628407056491748</v>
      </c>
      <c r="Q100" s="23">
        <v>0.43653664706777368</v>
      </c>
      <c r="R100" s="23">
        <f t="shared" si="5"/>
        <v>1.5332876528757933</v>
      </c>
      <c r="S100" s="23"/>
    </row>
    <row r="101" spans="1:19" x14ac:dyDescent="0.6">
      <c r="A101" s="24">
        <v>1991</v>
      </c>
      <c r="B101" s="38">
        <v>16460499.827582771</v>
      </c>
      <c r="C101" s="38">
        <v>9387558.4399999995</v>
      </c>
      <c r="D101" s="38">
        <v>3625741.6761827087</v>
      </c>
      <c r="E101" s="38">
        <v>13149575.6</v>
      </c>
      <c r="F101" s="13">
        <f t="shared" si="3"/>
        <v>42623375.543765478</v>
      </c>
      <c r="H101" s="8">
        <v>3.0580763885739861</v>
      </c>
      <c r="I101" s="8">
        <v>1.7440461172155182</v>
      </c>
      <c r="J101" s="8">
        <v>0.67360014137743551</v>
      </c>
      <c r="K101" s="8">
        <v>2.4429638882985127</v>
      </c>
      <c r="L101" s="7">
        <f t="shared" si="4"/>
        <v>7.9186865354654525</v>
      </c>
      <c r="N101" s="23">
        <v>0.59868917547951417</v>
      </c>
      <c r="O101" s="23">
        <v>0.34143736102056665</v>
      </c>
      <c r="P101" s="23">
        <v>0.13187280564701445</v>
      </c>
      <c r="Q101" s="23">
        <v>0.47826667818905577</v>
      </c>
      <c r="R101" s="23">
        <f t="shared" si="5"/>
        <v>1.5502660203361511</v>
      </c>
      <c r="S101" s="23"/>
    </row>
    <row r="102" spans="1:19" x14ac:dyDescent="0.6">
      <c r="A102" s="24">
        <v>1992</v>
      </c>
      <c r="B102" s="38">
        <v>16609529.70390537</v>
      </c>
      <c r="C102" s="38">
        <v>9223193.9000000004</v>
      </c>
      <c r="D102" s="38">
        <v>3563304.5238671531</v>
      </c>
      <c r="E102" s="38">
        <v>12822174.199999999</v>
      </c>
      <c r="F102" s="13">
        <f t="shared" si="3"/>
        <v>42218202.327772528</v>
      </c>
      <c r="H102" s="8">
        <v>3.0320349133655684</v>
      </c>
      <c r="I102" s="8">
        <v>1.683674758772066</v>
      </c>
      <c r="J102" s="8">
        <v>0.65047378919936183</v>
      </c>
      <c r="K102" s="8">
        <v>2.3406610862987938</v>
      </c>
      <c r="L102" s="7">
        <f t="shared" si="4"/>
        <v>7.7068445476357903</v>
      </c>
      <c r="N102" s="23">
        <v>0.59156432254393365</v>
      </c>
      <c r="O102" s="23">
        <v>0.32849289223775885</v>
      </c>
      <c r="P102" s="23">
        <v>0.12691050645362786</v>
      </c>
      <c r="Q102" s="23">
        <v>0.4566740256576815</v>
      </c>
      <c r="R102" s="23">
        <f t="shared" si="5"/>
        <v>1.5036417468930019</v>
      </c>
      <c r="S102" s="23"/>
    </row>
    <row r="103" spans="1:19" x14ac:dyDescent="0.6">
      <c r="A103" s="24">
        <v>1993</v>
      </c>
      <c r="B103" s="38">
        <v>16500546.344300019</v>
      </c>
      <c r="C103" s="38">
        <v>9157267.4199999999</v>
      </c>
      <c r="D103" s="38">
        <v>3531851.2435608027</v>
      </c>
      <c r="E103" s="38">
        <v>14125351.5</v>
      </c>
      <c r="F103" s="13">
        <f t="shared" si="3"/>
        <v>43315016.507860824</v>
      </c>
      <c r="H103" s="8">
        <v>2.9667930378505343</v>
      </c>
      <c r="I103" s="8">
        <v>1.6464737991403777</v>
      </c>
      <c r="J103" s="8">
        <v>0.63502574166215864</v>
      </c>
      <c r="K103" s="8">
        <v>2.5397337526261992</v>
      </c>
      <c r="L103" s="7">
        <f t="shared" si="4"/>
        <v>7.7880263312792692</v>
      </c>
      <c r="N103" s="23">
        <v>0.57506067700091501</v>
      </c>
      <c r="O103" s="23">
        <v>0.31914000252741415</v>
      </c>
      <c r="P103" s="23">
        <v>0.12308857687552882</v>
      </c>
      <c r="Q103" s="23">
        <v>0.49228274185429582</v>
      </c>
      <c r="R103" s="23">
        <f t="shared" si="5"/>
        <v>1.5095719982581539</v>
      </c>
      <c r="S103" s="23"/>
    </row>
    <row r="104" spans="1:19" x14ac:dyDescent="0.6">
      <c r="A104" s="24">
        <v>1994</v>
      </c>
      <c r="B104" s="38">
        <v>16644027.69534206</v>
      </c>
      <c r="C104" s="38">
        <v>9285436.0999999996</v>
      </c>
      <c r="D104" s="38">
        <v>3588084.9461158942</v>
      </c>
      <c r="E104" s="38">
        <v>14770901.9</v>
      </c>
      <c r="F104" s="13">
        <f t="shared" si="3"/>
        <v>44288450.641457953</v>
      </c>
      <c r="H104" s="8">
        <v>2.9487604464487571</v>
      </c>
      <c r="I104" s="8">
        <v>1.6450661583175581</v>
      </c>
      <c r="J104" s="8">
        <v>0.63568765693449081</v>
      </c>
      <c r="K104" s="8">
        <v>2.6169057200790515</v>
      </c>
      <c r="L104" s="7">
        <f t="shared" si="4"/>
        <v>7.8464199817798574</v>
      </c>
      <c r="N104" s="23">
        <v>0.56044365712944322</v>
      </c>
      <c r="O104" s="23">
        <v>0.31266252743511824</v>
      </c>
      <c r="P104" s="23">
        <v>0.12081928041101866</v>
      </c>
      <c r="Q104" s="23">
        <v>0.49737109499360943</v>
      </c>
      <c r="R104" s="23">
        <f t="shared" si="5"/>
        <v>1.4912965599691894</v>
      </c>
      <c r="S104" s="23"/>
    </row>
    <row r="105" spans="1:19" x14ac:dyDescent="0.6">
      <c r="A105" s="24">
        <v>1995</v>
      </c>
      <c r="B105" s="38">
        <v>16761521.000193154</v>
      </c>
      <c r="C105" s="38">
        <v>9501626.4000000004</v>
      </c>
      <c r="D105" s="38">
        <v>3786172.4519979125</v>
      </c>
      <c r="E105" s="38">
        <v>15396040.699999999</v>
      </c>
      <c r="F105" s="13">
        <f t="shared" si="3"/>
        <v>45445360.552191064</v>
      </c>
      <c r="H105" s="8">
        <v>2.9271441262723066</v>
      </c>
      <c r="I105" s="8">
        <v>1.6593142058213799</v>
      </c>
      <c r="J105" s="8">
        <v>0.66119730147353528</v>
      </c>
      <c r="K105" s="8">
        <v>2.6886838075336383</v>
      </c>
      <c r="L105" s="7">
        <f t="shared" si="4"/>
        <v>7.9363394411008601</v>
      </c>
      <c r="N105" s="23">
        <v>0.54170356023774469</v>
      </c>
      <c r="O105" s="23">
        <v>0.30707624020932422</v>
      </c>
      <c r="P105" s="23">
        <v>0.1223625885083881</v>
      </c>
      <c r="Q105" s="23">
        <v>0.49757358300950794</v>
      </c>
      <c r="R105" s="23">
        <f t="shared" si="5"/>
        <v>1.468715971964965</v>
      </c>
      <c r="S105" s="23"/>
    </row>
    <row r="106" spans="1:19" x14ac:dyDescent="0.6">
      <c r="A106" s="24">
        <v>1996</v>
      </c>
      <c r="B106" s="38">
        <v>17165935.343398299</v>
      </c>
      <c r="C106" s="38">
        <v>9728122.5600000005</v>
      </c>
      <c r="D106" s="38">
        <v>3945475.9090888156</v>
      </c>
      <c r="E106" s="38">
        <v>15833665.300000001</v>
      </c>
      <c r="F106" s="13">
        <f t="shared" si="3"/>
        <v>46673199.112487115</v>
      </c>
      <c r="H106" s="8">
        <v>2.9559719939968194</v>
      </c>
      <c r="I106" s="8">
        <v>1.6751815305297473</v>
      </c>
      <c r="J106" s="8">
        <v>0.67941047527835086</v>
      </c>
      <c r="K106" s="8">
        <v>2.7265552533447677</v>
      </c>
      <c r="L106" s="7">
        <f t="shared" si="4"/>
        <v>8.0371192531496849</v>
      </c>
      <c r="N106" s="23">
        <v>0.536594814291114</v>
      </c>
      <c r="O106" s="23">
        <v>0.30409412677252889</v>
      </c>
      <c r="P106" s="23">
        <v>0.12333274420387369</v>
      </c>
      <c r="Q106" s="23">
        <v>0.49494900925795815</v>
      </c>
      <c r="R106" s="23">
        <f t="shared" si="5"/>
        <v>1.4589706945254748</v>
      </c>
      <c r="S106" s="23"/>
    </row>
    <row r="107" spans="1:19" x14ac:dyDescent="0.6">
      <c r="A107" s="24">
        <v>1997</v>
      </c>
      <c r="B107" s="38">
        <v>17231846.442140959</v>
      </c>
      <c r="C107" s="38">
        <v>9822251.0600000005</v>
      </c>
      <c r="D107" s="38">
        <v>4133262.007137347</v>
      </c>
      <c r="E107" s="38">
        <v>16272929.1</v>
      </c>
      <c r="F107" s="13">
        <f t="shared" si="3"/>
        <v>47460288.609278306</v>
      </c>
      <c r="H107" s="8">
        <v>2.9269727121128795</v>
      </c>
      <c r="I107" s="8">
        <v>1.6683911918942245</v>
      </c>
      <c r="J107" s="8">
        <v>0.70206899460977457</v>
      </c>
      <c r="K107" s="8">
        <v>2.7640926108397812</v>
      </c>
      <c r="L107" s="7">
        <f t="shared" si="4"/>
        <v>8.0615255094566596</v>
      </c>
      <c r="N107" s="23">
        <v>0.51837904494090448</v>
      </c>
      <c r="O107" s="23">
        <v>0.29547902140079529</v>
      </c>
      <c r="P107" s="23">
        <v>0.12433933989282803</v>
      </c>
      <c r="Q107" s="23">
        <v>0.48953230134524017</v>
      </c>
      <c r="R107" s="23">
        <f t="shared" si="5"/>
        <v>1.4277297075797679</v>
      </c>
      <c r="S107" s="23"/>
    </row>
    <row r="108" spans="1:19" x14ac:dyDescent="0.6">
      <c r="A108" s="24">
        <v>1998</v>
      </c>
      <c r="B108" s="38">
        <v>17306987.085767221</v>
      </c>
      <c r="C108" s="38">
        <v>9874701.0600000005</v>
      </c>
      <c r="D108" s="38">
        <v>4213974.5246141497</v>
      </c>
      <c r="E108" s="38">
        <v>16375088.1</v>
      </c>
      <c r="F108" s="13">
        <f t="shared" si="3"/>
        <v>47770750.770381369</v>
      </c>
      <c r="H108" s="8">
        <v>2.9007113738520158</v>
      </c>
      <c r="I108" s="8">
        <v>1.655034324355988</v>
      </c>
      <c r="J108" s="8">
        <v>0.70627682173075568</v>
      </c>
      <c r="K108" s="8">
        <v>2.7445218549080082</v>
      </c>
      <c r="L108" s="7">
        <f t="shared" si="4"/>
        <v>8.0065443748467668</v>
      </c>
      <c r="N108" s="23">
        <v>0.51198821277353224</v>
      </c>
      <c r="O108" s="23">
        <v>0.29212077886970839</v>
      </c>
      <c r="P108" s="23">
        <v>0.12466094039583964</v>
      </c>
      <c r="Q108" s="23">
        <v>0.48442008125277797</v>
      </c>
      <c r="R108" s="23">
        <f t="shared" si="5"/>
        <v>1.4131900132918582</v>
      </c>
      <c r="S108" s="23"/>
    </row>
    <row r="109" spans="1:19" x14ac:dyDescent="0.6">
      <c r="A109" s="24">
        <v>1999</v>
      </c>
      <c r="B109" s="38">
        <v>17667026.652213022</v>
      </c>
      <c r="C109" s="38">
        <v>9759363.0399999991</v>
      </c>
      <c r="D109" s="38">
        <v>4301080.5149134127</v>
      </c>
      <c r="E109" s="38">
        <v>16965525.899999999</v>
      </c>
      <c r="F109" s="13">
        <f t="shared" si="3"/>
        <v>48692996.10712643</v>
      </c>
      <c r="H109" s="8">
        <v>2.9226184140419504</v>
      </c>
      <c r="I109" s="8">
        <v>1.6144705439979379</v>
      </c>
      <c r="J109" s="8">
        <v>0.71151854585493413</v>
      </c>
      <c r="K109" s="8">
        <v>2.8065706457195292</v>
      </c>
      <c r="L109" s="7">
        <f t="shared" si="4"/>
        <v>8.0551781496143526</v>
      </c>
      <c r="N109" s="23">
        <v>0.50481074130089165</v>
      </c>
      <c r="O109" s="23">
        <v>0.27886023991647735</v>
      </c>
      <c r="P109" s="23">
        <v>0.12289740010418142</v>
      </c>
      <c r="Q109" s="23">
        <v>0.48476633192069568</v>
      </c>
      <c r="R109" s="23">
        <f t="shared" si="5"/>
        <v>1.391334713242246</v>
      </c>
      <c r="S109" s="23"/>
    </row>
    <row r="110" spans="1:19" x14ac:dyDescent="0.6">
      <c r="A110" s="24">
        <v>2000</v>
      </c>
      <c r="B110" s="38">
        <v>17799583.551161487</v>
      </c>
      <c r="C110" s="38">
        <v>9974114.4199999999</v>
      </c>
      <c r="D110" s="38">
        <v>4456839.2614538511</v>
      </c>
      <c r="E110" s="38">
        <v>17467375.300000001</v>
      </c>
      <c r="F110" s="13">
        <f t="shared" si="3"/>
        <v>49697912.532615334</v>
      </c>
      <c r="H110" s="8">
        <v>2.9071133585411251</v>
      </c>
      <c r="I110" s="8">
        <v>1.6290202063804791</v>
      </c>
      <c r="J110" s="8">
        <v>0.7279123647248249</v>
      </c>
      <c r="K110" s="8">
        <v>2.8528555135756388</v>
      </c>
      <c r="L110" s="7">
        <f t="shared" si="4"/>
        <v>8.1169014432220674</v>
      </c>
      <c r="N110" s="23">
        <v>0.48515714569167534</v>
      </c>
      <c r="O110" s="23">
        <v>0.27186101679854285</v>
      </c>
      <c r="P110" s="23">
        <v>0.1214785395781043</v>
      </c>
      <c r="Q110" s="23">
        <v>0.47610225929809946</v>
      </c>
      <c r="R110" s="23">
        <f t="shared" si="5"/>
        <v>1.3545989613664218</v>
      </c>
      <c r="S110" s="23"/>
    </row>
    <row r="111" spans="1:19" x14ac:dyDescent="0.6">
      <c r="A111" s="24">
        <v>2001</v>
      </c>
      <c r="B111" s="38">
        <v>17844438.179956723</v>
      </c>
      <c r="C111" s="38">
        <v>10187644.039999999</v>
      </c>
      <c r="D111" s="38">
        <v>4493669.3020394603</v>
      </c>
      <c r="E111" s="38">
        <v>18218135.899999999</v>
      </c>
      <c r="F111" s="13">
        <f t="shared" si="3"/>
        <v>50743887.421996176</v>
      </c>
      <c r="H111" s="8">
        <v>2.8781337976702144</v>
      </c>
      <c r="I111" s="8">
        <v>1.6431675984672909</v>
      </c>
      <c r="J111" s="8">
        <v>0.72478502059425787</v>
      </c>
      <c r="K111" s="8">
        <v>2.9384075943189059</v>
      </c>
      <c r="L111" s="7">
        <f t="shared" si="4"/>
        <v>8.1844940110506688</v>
      </c>
      <c r="N111" s="23">
        <v>0.47283355090165752</v>
      </c>
      <c r="O111" s="23">
        <v>0.26994741208305106</v>
      </c>
      <c r="P111" s="23">
        <v>0.11907114089182515</v>
      </c>
      <c r="Q111" s="23">
        <v>0.48273561776136875</v>
      </c>
      <c r="R111" s="23">
        <f t="shared" si="5"/>
        <v>1.3445877216379025</v>
      </c>
      <c r="S111" s="23"/>
    </row>
    <row r="112" spans="1:19" x14ac:dyDescent="0.6">
      <c r="A112" s="24">
        <v>2002</v>
      </c>
      <c r="B112" s="38">
        <v>18075338.647323813</v>
      </c>
      <c r="C112" s="38">
        <v>10304970.800000001</v>
      </c>
      <c r="D112" s="38">
        <v>4687555.6532303412</v>
      </c>
      <c r="E112" s="38">
        <v>18947751.899999999</v>
      </c>
      <c r="F112" s="13">
        <f t="shared" si="3"/>
        <v>52015617.000554152</v>
      </c>
      <c r="H112" s="8">
        <v>2.8797440839413047</v>
      </c>
      <c r="I112" s="8">
        <v>1.641777190209468</v>
      </c>
      <c r="J112" s="8">
        <v>0.74681647320252631</v>
      </c>
      <c r="K112" s="8">
        <v>3.0187360526211391</v>
      </c>
      <c r="L112" s="7">
        <f t="shared" si="4"/>
        <v>8.2870737999744382</v>
      </c>
      <c r="N112" s="23">
        <v>0.46321754088794248</v>
      </c>
      <c r="O112" s="23">
        <v>0.264085964088136</v>
      </c>
      <c r="P112" s="23">
        <v>0.12012820588488488</v>
      </c>
      <c r="Q112" s="23">
        <v>0.48557491573040751</v>
      </c>
      <c r="R112" s="23">
        <f t="shared" si="5"/>
        <v>1.3330066265913709</v>
      </c>
      <c r="S112" s="23"/>
    </row>
    <row r="113" spans="1:19" x14ac:dyDescent="0.6">
      <c r="A113" s="24">
        <v>2003</v>
      </c>
      <c r="B113" s="38">
        <v>18313081.607339188</v>
      </c>
      <c r="C113" s="38">
        <v>10824909.859999999</v>
      </c>
      <c r="D113" s="38">
        <v>4911994.4188409504</v>
      </c>
      <c r="E113" s="38">
        <v>20243977.899999999</v>
      </c>
      <c r="F113" s="13">
        <f t="shared" si="3"/>
        <v>54293963.786180139</v>
      </c>
      <c r="H113" s="8">
        <v>2.8825013457550996</v>
      </c>
      <c r="I113" s="8">
        <v>1.7038539940008099</v>
      </c>
      <c r="J113" s="8">
        <v>0.77315390310805232</v>
      </c>
      <c r="K113" s="8">
        <v>3.1864267735693761</v>
      </c>
      <c r="L113" s="7">
        <f t="shared" si="4"/>
        <v>8.5459360164333376</v>
      </c>
      <c r="N113" s="23">
        <v>0.44874485406934811</v>
      </c>
      <c r="O113" s="23">
        <v>0.26525424281912202</v>
      </c>
      <c r="P113" s="23">
        <v>0.12036380691870351</v>
      </c>
      <c r="Q113" s="23">
        <v>0.49605965305576599</v>
      </c>
      <c r="R113" s="23">
        <f t="shared" si="5"/>
        <v>1.3304225568629398</v>
      </c>
      <c r="S113" s="23"/>
    </row>
    <row r="114" spans="1:19" x14ac:dyDescent="0.6">
      <c r="A114" s="24">
        <v>2004</v>
      </c>
      <c r="B114" s="38">
        <v>18922038.948784716</v>
      </c>
      <c r="C114" s="38">
        <v>11415454.74</v>
      </c>
      <c r="D114" s="38">
        <v>5325693.2895362685</v>
      </c>
      <c r="E114" s="38">
        <v>21562297.600000001</v>
      </c>
      <c r="F114" s="13">
        <f t="shared" si="3"/>
        <v>57225484.578320988</v>
      </c>
      <c r="H114" s="8">
        <v>2.942886920523665</v>
      </c>
      <c r="I114" s="8">
        <v>1.7754108073186003</v>
      </c>
      <c r="J114" s="8">
        <v>0.82828881004409627</v>
      </c>
      <c r="K114" s="8">
        <v>3.3535182839032411</v>
      </c>
      <c r="L114" s="7">
        <f t="shared" si="4"/>
        <v>8.9001048217896024</v>
      </c>
      <c r="N114" s="23">
        <v>0.4405578292726377</v>
      </c>
      <c r="O114" s="23">
        <v>0.26578361740120215</v>
      </c>
      <c r="P114" s="23">
        <v>0.123996990036882</v>
      </c>
      <c r="Q114" s="23">
        <v>0.50203041281641136</v>
      </c>
      <c r="R114" s="23">
        <f t="shared" si="5"/>
        <v>1.3323688495271333</v>
      </c>
      <c r="S114" s="23"/>
    </row>
    <row r="115" spans="1:19" x14ac:dyDescent="0.6">
      <c r="A115" s="24">
        <v>2005</v>
      </c>
      <c r="B115" s="38">
        <v>19141999.614693906</v>
      </c>
      <c r="C115" s="38">
        <v>11851206.92</v>
      </c>
      <c r="D115" s="38">
        <v>5681627.8212792678</v>
      </c>
      <c r="E115" s="38">
        <v>22954773.399999999</v>
      </c>
      <c r="F115" s="13">
        <f t="shared" si="3"/>
        <v>59629607.755973168</v>
      </c>
      <c r="H115" s="8">
        <v>2.9419150226850985</v>
      </c>
      <c r="I115" s="8">
        <v>1.8214002913328926</v>
      </c>
      <c r="J115" s="8">
        <v>0.87320377061842114</v>
      </c>
      <c r="K115" s="8">
        <v>3.5278964615563839</v>
      </c>
      <c r="L115" s="7">
        <f t="shared" si="4"/>
        <v>9.1644155461927959</v>
      </c>
      <c r="N115" s="23">
        <v>0.42554243522485502</v>
      </c>
      <c r="O115" s="23">
        <v>0.26346210190178704</v>
      </c>
      <c r="P115" s="23">
        <v>0.12630727132877589</v>
      </c>
      <c r="Q115" s="23">
        <v>0.51030354034551184</v>
      </c>
      <c r="R115" s="23">
        <f t="shared" si="5"/>
        <v>1.3256153488009297</v>
      </c>
      <c r="S115" s="23"/>
    </row>
    <row r="116" spans="1:19" x14ac:dyDescent="0.6">
      <c r="A116" s="24">
        <v>2006</v>
      </c>
      <c r="B116" s="38">
        <v>19406768.402271844</v>
      </c>
      <c r="C116" s="38">
        <v>12213267.68</v>
      </c>
      <c r="D116" s="38">
        <v>6062412.5609364267</v>
      </c>
      <c r="E116" s="38">
        <v>24938921.699999999</v>
      </c>
      <c r="F116" s="13">
        <f t="shared" si="3"/>
        <v>62621370.343208268</v>
      </c>
      <c r="H116" s="8">
        <v>2.9475825270337785</v>
      </c>
      <c r="I116" s="8">
        <v>1.8550030414821717</v>
      </c>
      <c r="J116" s="8">
        <v>0.92078500479216485</v>
      </c>
      <c r="K116" s="8">
        <v>3.7878294995975827</v>
      </c>
      <c r="L116" s="7">
        <f t="shared" si="4"/>
        <v>9.511200072905698</v>
      </c>
      <c r="N116" s="23">
        <v>0.40993942283828244</v>
      </c>
      <c r="O116" s="23">
        <v>0.25798730628034605</v>
      </c>
      <c r="P116" s="8">
        <v>0.1280595436974917</v>
      </c>
      <c r="Q116" s="8">
        <v>0.5267980199480462</v>
      </c>
      <c r="R116" s="23">
        <f t="shared" si="5"/>
        <v>1.3227842927641664</v>
      </c>
    </row>
    <row r="117" spans="1:19" x14ac:dyDescent="0.6">
      <c r="A117" s="24">
        <v>2007</v>
      </c>
      <c r="B117" s="38">
        <v>19920534.440823637</v>
      </c>
      <c r="C117" s="38">
        <v>12487147.439999999</v>
      </c>
      <c r="D117" s="38">
        <v>6367243.7998368405</v>
      </c>
      <c r="E117" s="38">
        <v>26497384.699999999</v>
      </c>
      <c r="F117" s="13">
        <f t="shared" si="3"/>
        <v>65272310.380660474</v>
      </c>
      <c r="H117" s="8">
        <v>2.9903380208461856</v>
      </c>
      <c r="I117" s="8">
        <v>1.8744874477474216</v>
      </c>
      <c r="J117" s="8">
        <v>0.95580825299695138</v>
      </c>
      <c r="K117" s="8">
        <v>3.9776110001856901</v>
      </c>
      <c r="L117" s="7">
        <f t="shared" si="4"/>
        <v>9.7982447217762498</v>
      </c>
      <c r="N117" s="23">
        <v>0.40315904770121191</v>
      </c>
      <c r="O117" s="23">
        <v>0.25271944813378594</v>
      </c>
      <c r="P117" s="8">
        <v>0.12886260428651081</v>
      </c>
      <c r="Q117" s="8">
        <v>0.53626374402548282</v>
      </c>
      <c r="R117" s="23">
        <f t="shared" si="5"/>
        <v>1.3210048441469917</v>
      </c>
    </row>
    <row r="118" spans="1:19" x14ac:dyDescent="0.6">
      <c r="A118" s="24">
        <v>2008</v>
      </c>
      <c r="B118" s="38">
        <v>20421482.733858965</v>
      </c>
      <c r="C118" s="38">
        <v>12978014.58</v>
      </c>
      <c r="D118" s="38">
        <v>6532155.0755796731</v>
      </c>
      <c r="E118" s="38">
        <v>26907153.100000001</v>
      </c>
      <c r="F118" s="13">
        <f t="shared" si="3"/>
        <v>66838805.489438638</v>
      </c>
      <c r="H118" s="8">
        <v>3.0300711590455176</v>
      </c>
      <c r="I118" s="8">
        <v>1.9256343034940475</v>
      </c>
      <c r="J118" s="8">
        <v>0.96921927554799914</v>
      </c>
      <c r="K118" s="8">
        <v>3.992393189215095</v>
      </c>
      <c r="L118" s="7">
        <f t="shared" si="4"/>
        <v>9.9173179273026584</v>
      </c>
      <c r="N118" s="23">
        <v>0.40062598137379357</v>
      </c>
      <c r="O118" s="23">
        <v>0.25460099519489715</v>
      </c>
      <c r="P118" s="8">
        <v>0.12814696522015953</v>
      </c>
      <c r="Q118" s="8">
        <v>0.52786101563475529</v>
      </c>
      <c r="R118" s="23">
        <f t="shared" si="5"/>
        <v>1.3112349574236055</v>
      </c>
    </row>
    <row r="119" spans="1:19" x14ac:dyDescent="0.6">
      <c r="A119" s="24">
        <v>2009</v>
      </c>
      <c r="B119" s="38">
        <v>20281184.191265762</v>
      </c>
      <c r="C119" s="38">
        <v>12966244.120000001</v>
      </c>
      <c r="D119" s="38">
        <v>6536754.0811625458</v>
      </c>
      <c r="E119" s="38">
        <v>28356502.5</v>
      </c>
      <c r="F119" s="13">
        <f t="shared" si="3"/>
        <v>68140684.892428309</v>
      </c>
      <c r="H119" s="8">
        <v>2.9747677552339966</v>
      </c>
      <c r="I119" s="8">
        <v>1.9018398803004577</v>
      </c>
      <c r="J119" s="8">
        <v>0.95878648313399972</v>
      </c>
      <c r="K119" s="8">
        <v>4.1592250478421215</v>
      </c>
      <c r="L119" s="7">
        <f t="shared" si="4"/>
        <v>9.9946191665105744</v>
      </c>
      <c r="N119" s="23">
        <v>0.4004366566641625</v>
      </c>
      <c r="O119" s="23">
        <v>0.25600869238888907</v>
      </c>
      <c r="P119" s="8">
        <v>0.12906326992601441</v>
      </c>
      <c r="Q119" s="8">
        <v>0.55987771466910052</v>
      </c>
      <c r="R119" s="23">
        <f t="shared" si="5"/>
        <v>1.3453863336481664</v>
      </c>
    </row>
    <row r="120" spans="1:19" x14ac:dyDescent="0.6">
      <c r="B120"/>
      <c r="C120"/>
      <c r="D120"/>
      <c r="E120"/>
    </row>
    <row r="125" spans="1:19" x14ac:dyDescent="0.6">
      <c r="A125" s="24" t="s">
        <v>31</v>
      </c>
    </row>
    <row r="126" spans="1:19" x14ac:dyDescent="0.6">
      <c r="A126" s="24" t="s">
        <v>32</v>
      </c>
    </row>
    <row r="127" spans="1:19" x14ac:dyDescent="0.6">
      <c r="A127" s="24" t="s">
        <v>54</v>
      </c>
    </row>
    <row r="128" spans="1:19" x14ac:dyDescent="0.6">
      <c r="A128" s="25" t="s">
        <v>35</v>
      </c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75FC-18B4-425E-9844-7BE3AE601653}">
  <dimension ref="A1:DU122"/>
  <sheetViews>
    <sheetView zoomScale="75" workbookViewId="0">
      <pane xSplit="1" ySplit="10" topLeftCell="B89" activePane="bottomRight" state="frozen"/>
      <selection pane="topRight" activeCell="B1" sqref="B1"/>
      <selection pane="bottomLeft" activeCell="A10" sqref="A10"/>
      <selection pane="bottomRight" activeCell="I118" sqref="I118"/>
    </sheetView>
  </sheetViews>
  <sheetFormatPr defaultRowHeight="13" x14ac:dyDescent="0.6"/>
  <cols>
    <col min="1" max="1" width="13.86328125" style="14" customWidth="1"/>
    <col min="2" max="3" width="14" style="13" bestFit="1" customWidth="1"/>
    <col min="4" max="4" width="13" style="13" bestFit="1" customWidth="1"/>
    <col min="5" max="6" width="14" style="13" bestFit="1" customWidth="1"/>
    <col min="7" max="256" width="10.90625" customWidth="1"/>
  </cols>
  <sheetData>
    <row r="1" spans="1:125" s="5" customFormat="1" ht="15.5" x14ac:dyDescent="0.7">
      <c r="A1" s="11" t="s">
        <v>82</v>
      </c>
      <c r="B1" s="13"/>
      <c r="C1" s="13"/>
      <c r="D1" s="13"/>
      <c r="E1" s="13"/>
      <c r="F1" s="13"/>
    </row>
    <row r="2" spans="1:125" s="5" customFormat="1" ht="15.5" x14ac:dyDescent="0.7">
      <c r="A2" s="11" t="s">
        <v>26</v>
      </c>
      <c r="B2" s="13"/>
      <c r="C2" s="13"/>
      <c r="D2" s="13"/>
      <c r="E2" s="13"/>
      <c r="F2" s="13"/>
    </row>
    <row r="3" spans="1:125" s="5" customFormat="1" ht="15.5" x14ac:dyDescent="0.7">
      <c r="A3" s="11" t="s">
        <v>70</v>
      </c>
      <c r="B3" s="40" t="s">
        <v>75</v>
      </c>
      <c r="C3" s="13"/>
      <c r="D3" s="13"/>
      <c r="E3" s="13"/>
      <c r="F3" s="13"/>
    </row>
    <row r="4" spans="1:125" s="5" customFormat="1" ht="15.5" x14ac:dyDescent="0.7">
      <c r="A4" s="14"/>
      <c r="B4" s="40" t="s">
        <v>81</v>
      </c>
      <c r="C4" s="13"/>
      <c r="D4" s="13"/>
      <c r="E4" s="13"/>
      <c r="F4" s="13"/>
    </row>
    <row r="5" spans="1:125" s="5" customFormat="1" ht="15.5" x14ac:dyDescent="0.7">
      <c r="B5" s="40" t="s">
        <v>80</v>
      </c>
      <c r="C5" s="13"/>
      <c r="D5" s="13"/>
      <c r="E5" s="13"/>
      <c r="F5" s="13"/>
    </row>
    <row r="6" spans="1:125" s="5" customFormat="1" ht="15.5" x14ac:dyDescent="0.7">
      <c r="A6" s="11" t="s">
        <v>68</v>
      </c>
      <c r="B6" s="13"/>
      <c r="C6" s="13"/>
      <c r="D6" s="13"/>
      <c r="E6" s="13"/>
      <c r="F6" s="13"/>
    </row>
    <row r="7" spans="1:125" x14ac:dyDescent="0.6"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U7" s="8"/>
    </row>
    <row r="8" spans="1:125" x14ac:dyDescent="0.6">
      <c r="B8" s="17" t="s">
        <v>76</v>
      </c>
      <c r="C8" s="17"/>
      <c r="D8" s="17"/>
      <c r="E8" s="17"/>
      <c r="F8" s="17"/>
      <c r="G8" s="3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U8" s="8"/>
    </row>
    <row r="9" spans="1:125" x14ac:dyDescent="0.6">
      <c r="B9" s="17" t="s">
        <v>67</v>
      </c>
      <c r="C9" s="17" t="s">
        <v>67</v>
      </c>
      <c r="D9" s="17" t="s">
        <v>67</v>
      </c>
      <c r="E9" s="17" t="s">
        <v>67</v>
      </c>
      <c r="F9" s="17" t="s">
        <v>67</v>
      </c>
      <c r="G9" s="39" t="s">
        <v>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U9" s="8"/>
    </row>
    <row r="10" spans="1:125" x14ac:dyDescent="0.6">
      <c r="A10" s="24" t="s">
        <v>22</v>
      </c>
      <c r="B10" s="17" t="s">
        <v>63</v>
      </c>
      <c r="C10" s="17" t="s">
        <v>64</v>
      </c>
      <c r="D10" s="17" t="s">
        <v>65</v>
      </c>
      <c r="E10" s="17" t="s">
        <v>74</v>
      </c>
      <c r="F10" s="17" t="s">
        <v>66</v>
      </c>
      <c r="G10" s="39" t="s">
        <v>69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U10" s="8"/>
    </row>
    <row r="11" spans="1:125" x14ac:dyDescent="0.6">
      <c r="A11" s="24">
        <v>1900</v>
      </c>
      <c r="B11" s="13">
        <v>19.727271288853199</v>
      </c>
      <c r="C11" s="13">
        <v>0.85516461939891553</v>
      </c>
      <c r="D11" s="13">
        <v>0.24443420190304518</v>
      </c>
      <c r="E11" s="13">
        <v>1.9191453840000001E-3</v>
      </c>
      <c r="F11" s="13">
        <v>22.754999999999999</v>
      </c>
      <c r="G11" s="38">
        <f>SUM(B11:F11)</f>
        <v>43.583789255539159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U11" s="8"/>
    </row>
    <row r="12" spans="1:125" x14ac:dyDescent="0.6">
      <c r="A12" s="24">
        <v>1901</v>
      </c>
      <c r="B12" s="13">
        <v>20.494709459607602</v>
      </c>
      <c r="C12" s="13">
        <v>0.95666405047720526</v>
      </c>
      <c r="D12" s="13">
        <v>0.26713806834539711</v>
      </c>
      <c r="E12" s="13">
        <v>2.8625151600000002E-3</v>
      </c>
      <c r="F12" s="13">
        <v>22.862299999999998</v>
      </c>
      <c r="G12" s="38">
        <f t="shared" ref="G12:G75" si="0">SUM(B12:F12)</f>
        <v>44.583674093590204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U12" s="8"/>
    </row>
    <row r="13" spans="1:125" x14ac:dyDescent="0.6">
      <c r="A13" s="24">
        <v>1902</v>
      </c>
      <c r="B13" s="13">
        <v>20.981278743991197</v>
      </c>
      <c r="C13" s="13">
        <v>1.0396109780309641</v>
      </c>
      <c r="D13" s="13">
        <v>0.28442600456216416</v>
      </c>
      <c r="E13" s="13">
        <v>3.7806803999999999E-3</v>
      </c>
      <c r="F13" s="13">
        <v>22.9696</v>
      </c>
      <c r="G13" s="38">
        <f t="shared" si="0"/>
        <v>45.278696406984324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U13" s="8"/>
    </row>
    <row r="14" spans="1:125" x14ac:dyDescent="0.6">
      <c r="A14" s="24">
        <v>1903</v>
      </c>
      <c r="B14" s="13">
        <v>22.854124303894796</v>
      </c>
      <c r="C14" s="13">
        <v>1.1118537877465371</v>
      </c>
      <c r="D14" s="13">
        <v>0.30207261165479776</v>
      </c>
      <c r="E14" s="13">
        <v>5.671020599999999E-3</v>
      </c>
      <c r="F14" s="13">
        <v>23.076900000000002</v>
      </c>
      <c r="G14" s="38">
        <f t="shared" si="0"/>
        <v>47.350621723896133</v>
      </c>
    </row>
    <row r="15" spans="1:125" x14ac:dyDescent="0.6">
      <c r="A15" s="24">
        <v>1904</v>
      </c>
      <c r="B15" s="13">
        <v>22.978538147379595</v>
      </c>
      <c r="C15" s="13">
        <v>1.2488568984249131</v>
      </c>
      <c r="D15" s="13">
        <v>0.31584557328807278</v>
      </c>
      <c r="E15" s="13">
        <v>7.4389387679999995E-3</v>
      </c>
      <c r="F15" s="13">
        <v>23.184200000000001</v>
      </c>
      <c r="G15" s="38">
        <f t="shared" si="0"/>
        <v>47.73487955786058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U15" s="8"/>
    </row>
    <row r="16" spans="1:125" x14ac:dyDescent="0.6">
      <c r="A16" s="24">
        <v>1905</v>
      </c>
      <c r="B16" s="13">
        <v>24.4733622579936</v>
      </c>
      <c r="C16" s="13">
        <v>1.2299075792743281</v>
      </c>
      <c r="D16" s="13">
        <v>0.3583839391658441</v>
      </c>
      <c r="E16" s="13">
        <v>8.4435195599999995E-3</v>
      </c>
      <c r="F16" s="13">
        <v>23.291499999999999</v>
      </c>
      <c r="G16" s="38">
        <f t="shared" si="0"/>
        <v>49.361597295993775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U16" s="8"/>
    </row>
    <row r="17" spans="1:125" x14ac:dyDescent="0.6">
      <c r="A17" s="24">
        <v>1906</v>
      </c>
      <c r="B17" s="13">
        <v>26.145402701806795</v>
      </c>
      <c r="C17" s="13">
        <v>1.2240150413648392</v>
      </c>
      <c r="D17" s="13">
        <v>0.39780186842357651</v>
      </c>
      <c r="E17" s="13">
        <v>9.4697042399999997E-3</v>
      </c>
      <c r="F17" s="13">
        <v>23.398799999999998</v>
      </c>
      <c r="G17" s="38">
        <f t="shared" si="0"/>
        <v>51.175489315835208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U17" s="8"/>
    </row>
    <row r="18" spans="1:125" x14ac:dyDescent="0.6">
      <c r="A18" s="24">
        <v>1907</v>
      </c>
      <c r="B18" s="13">
        <v>28.827552711690004</v>
      </c>
      <c r="C18" s="13">
        <v>1.5142524308332685</v>
      </c>
      <c r="D18" s="13">
        <v>0.41634515270587658</v>
      </c>
      <c r="E18" s="13">
        <v>1.029785328E-2</v>
      </c>
      <c r="F18" s="13">
        <v>23.5061</v>
      </c>
      <c r="G18" s="38">
        <f t="shared" si="0"/>
        <v>54.274548148509147</v>
      </c>
    </row>
    <row r="19" spans="1:125" x14ac:dyDescent="0.6">
      <c r="A19" s="24">
        <v>1908</v>
      </c>
      <c r="B19" s="13">
        <v>27.468041991242401</v>
      </c>
      <c r="C19" s="13">
        <v>1.6369350166118031</v>
      </c>
      <c r="D19" s="13">
        <v>0.41422899453826389</v>
      </c>
      <c r="E19" s="13">
        <v>1.1543677488E-2</v>
      </c>
      <c r="F19" s="13">
        <v>23.613400000000002</v>
      </c>
      <c r="G19" s="38">
        <f t="shared" si="0"/>
        <v>53.144149679880471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</row>
    <row r="20" spans="1:125" x14ac:dyDescent="0.6">
      <c r="A20" s="24">
        <v>1909</v>
      </c>
      <c r="B20" s="13">
        <v>28.656638115389999</v>
      </c>
      <c r="C20" s="13">
        <v>1.7194882052461744</v>
      </c>
      <c r="D20" s="13">
        <v>0.51910435864163951</v>
      </c>
      <c r="E20" s="13">
        <v>1.3189173624000001E-2</v>
      </c>
      <c r="F20" s="13">
        <v>23.720700000000001</v>
      </c>
      <c r="G20" s="38">
        <f t="shared" si="0"/>
        <v>54.629119852901816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</row>
    <row r="21" spans="1:125" x14ac:dyDescent="0.6">
      <c r="A21" s="24">
        <v>1910</v>
      </c>
      <c r="B21" s="13">
        <v>29.970618005484003</v>
      </c>
      <c r="C21" s="13">
        <v>1.8614848024721531</v>
      </c>
      <c r="D21" s="13">
        <v>0.53248278231146129</v>
      </c>
      <c r="E21" s="13">
        <v>1.5335159831999999E-2</v>
      </c>
      <c r="F21" s="13">
        <v>23.827999999999999</v>
      </c>
      <c r="G21" s="38">
        <f t="shared" si="0"/>
        <v>56.207920750099618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</row>
    <row r="22" spans="1:125" x14ac:dyDescent="0.6">
      <c r="A22" s="24">
        <v>1911</v>
      </c>
      <c r="B22" s="13">
        <v>30.409342674735598</v>
      </c>
      <c r="C22" s="13">
        <v>1.9823112801877638</v>
      </c>
      <c r="D22" s="13">
        <v>0.5415930225584713</v>
      </c>
      <c r="E22" s="13">
        <v>1.7592766127999995E-2</v>
      </c>
      <c r="F22" s="13">
        <v>23.800249999999998</v>
      </c>
      <c r="G22" s="38">
        <f t="shared" si="0"/>
        <v>56.751089743609832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</row>
    <row r="23" spans="1:125" x14ac:dyDescent="0.6">
      <c r="A23" s="24">
        <v>1912</v>
      </c>
      <c r="B23" s="13">
        <v>31.927929035738398</v>
      </c>
      <c r="C23" s="13">
        <v>2.0139800521349378</v>
      </c>
      <c r="D23" s="13">
        <v>0.59750981210606446</v>
      </c>
      <c r="E23" s="13">
        <v>2.0044807415999996E-2</v>
      </c>
      <c r="F23" s="13">
        <v>23.772500000000001</v>
      </c>
      <c r="G23" s="38">
        <f t="shared" si="0"/>
        <v>58.331963707395396</v>
      </c>
    </row>
    <row r="24" spans="1:125" x14ac:dyDescent="0.6">
      <c r="A24" s="24">
        <v>1913</v>
      </c>
      <c r="B24" s="13">
        <v>34.224840298382404</v>
      </c>
      <c r="C24" s="13">
        <v>2.2214932717982521</v>
      </c>
      <c r="D24" s="13">
        <v>0.62591654547469422</v>
      </c>
      <c r="E24" s="13">
        <v>2.2979335535999998E-2</v>
      </c>
      <c r="F24" s="13">
        <v>23.74475</v>
      </c>
      <c r="G24" s="38">
        <f t="shared" si="0"/>
        <v>60.839979451191354</v>
      </c>
    </row>
    <row r="25" spans="1:125" x14ac:dyDescent="0.6">
      <c r="A25" s="24">
        <v>1914</v>
      </c>
      <c r="B25" s="13">
        <v>30.680994601422</v>
      </c>
      <c r="C25" s="13">
        <v>2.2913753056517043</v>
      </c>
      <c r="D25" s="13">
        <v>0.63997644380866259</v>
      </c>
      <c r="E25" s="13">
        <v>2.70948762E-2</v>
      </c>
      <c r="F25" s="13">
        <v>23.716999999999999</v>
      </c>
      <c r="G25" s="38">
        <f t="shared" si="0"/>
        <v>57.356441227082371</v>
      </c>
    </row>
    <row r="26" spans="1:125" x14ac:dyDescent="0.6">
      <c r="A26" s="24">
        <v>1915</v>
      </c>
      <c r="B26" s="13">
        <v>30.131206604834397</v>
      </c>
      <c r="C26" s="13">
        <v>2.4599519568804364</v>
      </c>
      <c r="D26" s="13">
        <v>0.67917917054087518</v>
      </c>
      <c r="E26" s="13">
        <v>3.2218598304E-2</v>
      </c>
      <c r="F26" s="13">
        <v>23.689250000000001</v>
      </c>
      <c r="G26" s="38">
        <f t="shared" si="0"/>
        <v>56.991806330559712</v>
      </c>
    </row>
    <row r="27" spans="1:125" x14ac:dyDescent="0.6">
      <c r="A27" s="24">
        <v>1916</v>
      </c>
      <c r="B27" s="13">
        <v>32.394233433564011</v>
      </c>
      <c r="C27" s="13">
        <v>2.6400455541746619</v>
      </c>
      <c r="D27" s="13">
        <v>0.81690878687362534</v>
      </c>
      <c r="E27" s="13">
        <v>3.8321696664000003E-2</v>
      </c>
      <c r="F27" s="13">
        <v>23.6615</v>
      </c>
      <c r="G27" s="38">
        <f t="shared" si="0"/>
        <v>59.551009471276302</v>
      </c>
    </row>
    <row r="28" spans="1:125" x14ac:dyDescent="0.6">
      <c r="A28" s="24">
        <v>1917</v>
      </c>
      <c r="B28" s="13">
        <v>33.728185686873601</v>
      </c>
      <c r="C28" s="13">
        <v>2.919211320519095</v>
      </c>
      <c r="D28" s="13">
        <v>0.86568802599147443</v>
      </c>
      <c r="E28" s="13">
        <v>4.5184531751999997E-2</v>
      </c>
      <c r="F28" s="13">
        <v>23.633749999999999</v>
      </c>
      <c r="G28" s="38">
        <f t="shared" si="0"/>
        <v>61.192019565136171</v>
      </c>
    </row>
    <row r="29" spans="1:125" x14ac:dyDescent="0.6">
      <c r="A29" s="24">
        <v>1918</v>
      </c>
      <c r="B29" s="13">
        <v>33.083262670924803</v>
      </c>
      <c r="C29" s="13">
        <v>2.9006130180181859</v>
      </c>
      <c r="D29" s="13">
        <v>0.7890041927312087</v>
      </c>
      <c r="E29" s="13">
        <v>5.4056528423999994E-2</v>
      </c>
      <c r="F29" s="13">
        <v>23.606000000000002</v>
      </c>
      <c r="G29" s="38">
        <f t="shared" si="0"/>
        <v>60.432936410098193</v>
      </c>
    </row>
    <row r="30" spans="1:125" x14ac:dyDescent="0.6">
      <c r="A30" s="24">
        <v>1919</v>
      </c>
      <c r="B30" s="13">
        <v>28.9101232447344</v>
      </c>
      <c r="C30" s="13">
        <v>3.3048794773971562</v>
      </c>
      <c r="D30" s="13">
        <v>0.81934774882951777</v>
      </c>
      <c r="E30" s="13">
        <v>6.3054547776000003E-2</v>
      </c>
      <c r="F30" s="13">
        <v>23.578250000000001</v>
      </c>
      <c r="G30" s="38">
        <f t="shared" si="0"/>
        <v>56.675655018737075</v>
      </c>
    </row>
    <row r="31" spans="1:125" x14ac:dyDescent="0.6">
      <c r="A31" s="24">
        <v>1920</v>
      </c>
      <c r="B31" s="13">
        <v>32.019614483590793</v>
      </c>
      <c r="C31" s="13">
        <v>4.2358999061729907</v>
      </c>
      <c r="D31" s="13">
        <v>0.88971897467453265</v>
      </c>
      <c r="E31" s="13">
        <v>7.2988735607999997E-2</v>
      </c>
      <c r="F31" s="13">
        <v>23.5505</v>
      </c>
      <c r="G31" s="38">
        <f t="shared" si="0"/>
        <v>60.768722100046311</v>
      </c>
    </row>
    <row r="32" spans="1:125" x14ac:dyDescent="0.6">
      <c r="A32" s="24">
        <v>1921</v>
      </c>
      <c r="B32" s="13">
        <v>26.821017808779597</v>
      </c>
      <c r="C32" s="13">
        <v>4.5889079469139906</v>
      </c>
      <c r="D32" s="13">
        <v>0.7512002824148758</v>
      </c>
      <c r="E32" s="13">
        <v>8.4683640311999986E-2</v>
      </c>
      <c r="F32" s="13">
        <v>23.66705</v>
      </c>
      <c r="G32" s="38">
        <f t="shared" si="0"/>
        <v>55.91285967842046</v>
      </c>
    </row>
    <row r="33" spans="1:7" x14ac:dyDescent="0.6">
      <c r="A33" s="24">
        <v>1922</v>
      </c>
      <c r="B33" s="13">
        <v>28.23533447810399</v>
      </c>
      <c r="C33" s="13">
        <v>5.2582920472064094</v>
      </c>
      <c r="D33" s="13">
        <v>0.86138397548107615</v>
      </c>
      <c r="E33" s="13">
        <v>9.6608986488000009E-2</v>
      </c>
      <c r="F33" s="13">
        <v>23.7836</v>
      </c>
      <c r="G33" s="38">
        <f t="shared" si="0"/>
        <v>58.235219487279473</v>
      </c>
    </row>
    <row r="34" spans="1:7" x14ac:dyDescent="0.6">
      <c r="A34" s="24">
        <v>1923</v>
      </c>
      <c r="B34" s="13">
        <v>32.316364459205992</v>
      </c>
      <c r="C34" s="13">
        <v>6.0679081467087297</v>
      </c>
      <c r="D34" s="13">
        <v>1.1226039743746752</v>
      </c>
      <c r="E34" s="13">
        <v>0.10965413419200001</v>
      </c>
      <c r="F34" s="13">
        <v>23.90015</v>
      </c>
      <c r="G34" s="38">
        <f t="shared" si="0"/>
        <v>63.516680714481396</v>
      </c>
    </row>
    <row r="35" spans="1:7" x14ac:dyDescent="0.6">
      <c r="A35" s="24">
        <v>1924</v>
      </c>
      <c r="B35" s="13">
        <v>31.7887944536952</v>
      </c>
      <c r="C35" s="13">
        <v>6.0536356435488576</v>
      </c>
      <c r="D35" s="13">
        <v>1.2752901662310603</v>
      </c>
      <c r="E35" s="13">
        <v>0.12159748360799999</v>
      </c>
      <c r="F35" s="13">
        <v>24.0167</v>
      </c>
      <c r="G35" s="38">
        <f t="shared" si="0"/>
        <v>63.256017747083114</v>
      </c>
    </row>
    <row r="36" spans="1:7" x14ac:dyDescent="0.6">
      <c r="A36" s="24">
        <v>1925</v>
      </c>
      <c r="B36" s="13">
        <v>31.935035182521599</v>
      </c>
      <c r="C36" s="13">
        <v>6.349640920353834</v>
      </c>
      <c r="D36" s="13">
        <v>1.3413573415656761</v>
      </c>
      <c r="E36" s="13">
        <v>0.13442659243199997</v>
      </c>
      <c r="F36" s="13">
        <v>24.13325</v>
      </c>
      <c r="G36" s="38">
        <f t="shared" si="0"/>
        <v>63.893710036873102</v>
      </c>
    </row>
    <row r="37" spans="1:7" x14ac:dyDescent="0.6">
      <c r="A37" s="24">
        <v>1926</v>
      </c>
      <c r="B37" s="13">
        <v>31.768562194869595</v>
      </c>
      <c r="C37" s="13">
        <v>6.5175909615494918</v>
      </c>
      <c r="D37" s="13">
        <v>1.4770784009935738</v>
      </c>
      <c r="E37" s="13">
        <v>0.14378467658399996</v>
      </c>
      <c r="F37" s="13">
        <v>24.2498</v>
      </c>
      <c r="G37" s="38">
        <f t="shared" si="0"/>
        <v>64.156816233996665</v>
      </c>
    </row>
    <row r="38" spans="1:7" x14ac:dyDescent="0.6">
      <c r="A38" s="24">
        <v>1927</v>
      </c>
      <c r="B38" s="13">
        <v>34.266713548629603</v>
      </c>
      <c r="C38" s="13">
        <v>7.440185475402731</v>
      </c>
      <c r="D38" s="13">
        <v>1.624384529711961</v>
      </c>
      <c r="E38" s="13">
        <v>0.16428676629600003</v>
      </c>
      <c r="F38" s="13">
        <v>24.366349999999997</v>
      </c>
      <c r="G38" s="38">
        <f t="shared" si="0"/>
        <v>67.861920320040298</v>
      </c>
    </row>
    <row r="39" spans="1:7" x14ac:dyDescent="0.6">
      <c r="A39" s="24">
        <v>1928</v>
      </c>
      <c r="B39" s="13">
        <v>33.769049930881195</v>
      </c>
      <c r="C39" s="13">
        <v>7.7710338398635388</v>
      </c>
      <c r="D39" s="13">
        <v>1.7702918420144682</v>
      </c>
      <c r="E39" s="13">
        <v>0.16349462373599996</v>
      </c>
      <c r="F39" s="13">
        <v>24.482900000000001</v>
      </c>
      <c r="G39" s="38">
        <f t="shared" si="0"/>
        <v>67.956770236495203</v>
      </c>
    </row>
    <row r="40" spans="1:7" x14ac:dyDescent="0.6">
      <c r="A40" s="24">
        <v>1929</v>
      </c>
      <c r="B40" s="13">
        <v>35.765786059632013</v>
      </c>
      <c r="C40" s="13">
        <v>8.706911676846417</v>
      </c>
      <c r="D40" s="13">
        <v>2.1599518815558749</v>
      </c>
      <c r="E40" s="13">
        <v>0.18442519056000004</v>
      </c>
      <c r="F40" s="13">
        <v>24.599450000000001</v>
      </c>
      <c r="G40" s="38">
        <f t="shared" si="0"/>
        <v>71.416524808594303</v>
      </c>
    </row>
    <row r="41" spans="1:7" x14ac:dyDescent="0.6">
      <c r="A41" s="24">
        <v>1930</v>
      </c>
      <c r="B41" s="13">
        <v>32.582400145383609</v>
      </c>
      <c r="C41" s="13">
        <v>8.2963103286732416</v>
      </c>
      <c r="D41" s="13">
        <v>2.2157969369282942</v>
      </c>
      <c r="E41" s="13">
        <v>0.20904282093600002</v>
      </c>
      <c r="F41" s="13">
        <v>24.716000000000001</v>
      </c>
      <c r="G41" s="38">
        <f t="shared" si="0"/>
        <v>68.019550231921144</v>
      </c>
    </row>
    <row r="42" spans="1:7" x14ac:dyDescent="0.6">
      <c r="A42" s="24">
        <v>1931</v>
      </c>
      <c r="B42" s="13">
        <v>28.657888729297198</v>
      </c>
      <c r="C42" s="13">
        <v>8.0249008100689867</v>
      </c>
      <c r="D42" s="13">
        <v>1.9821228613012454</v>
      </c>
      <c r="E42" s="13">
        <v>0.23238942256799994</v>
      </c>
      <c r="F42" s="13">
        <v>24.873249999999999</v>
      </c>
      <c r="G42" s="38">
        <f t="shared" si="0"/>
        <v>63.770551823235422</v>
      </c>
    </row>
    <row r="43" spans="1:7" x14ac:dyDescent="0.6">
      <c r="A43" s="24">
        <v>1932</v>
      </c>
      <c r="B43" s="13">
        <v>25.375834961287193</v>
      </c>
      <c r="C43" s="13">
        <v>7.6552386231186027</v>
      </c>
      <c r="D43" s="13">
        <v>1.8648016178053008</v>
      </c>
      <c r="E43" s="13">
        <v>0.25712587432799988</v>
      </c>
      <c r="F43" s="13">
        <v>25.0305</v>
      </c>
      <c r="G43" s="38">
        <f t="shared" si="0"/>
        <v>60.183501076539088</v>
      </c>
    </row>
    <row r="44" spans="1:7" x14ac:dyDescent="0.6">
      <c r="A44" s="24">
        <v>1933</v>
      </c>
      <c r="B44" s="13">
        <v>26.540503954675188</v>
      </c>
      <c r="C44" s="13">
        <v>8.3633507162495899</v>
      </c>
      <c r="D44" s="13">
        <v>1.8906976550428649</v>
      </c>
      <c r="E44" s="13">
        <v>0.30362464259999999</v>
      </c>
      <c r="F44" s="13">
        <v>25.187750000000001</v>
      </c>
      <c r="G44" s="38">
        <f t="shared" si="0"/>
        <v>62.285926968567644</v>
      </c>
    </row>
    <row r="45" spans="1:7" x14ac:dyDescent="0.6">
      <c r="A45" s="24">
        <v>1934</v>
      </c>
      <c r="B45" s="13">
        <v>28.956380007592799</v>
      </c>
      <c r="C45" s="13">
        <v>8.8220381012819828</v>
      </c>
      <c r="D45" s="13">
        <v>2.1495145590681584</v>
      </c>
      <c r="E45" s="13">
        <v>0.33825927571199998</v>
      </c>
      <c r="F45" s="13">
        <v>25.344999999999999</v>
      </c>
      <c r="G45" s="38">
        <f t="shared" si="0"/>
        <v>65.611191943654944</v>
      </c>
    </row>
    <row r="46" spans="1:7" x14ac:dyDescent="0.6">
      <c r="A46" s="24">
        <v>1935</v>
      </c>
      <c r="B46" s="13">
        <v>30.17733118623001</v>
      </c>
      <c r="C46" s="13">
        <v>9.5943495050076031</v>
      </c>
      <c r="D46" s="13">
        <v>2.3269490413593346</v>
      </c>
      <c r="E46" s="13">
        <v>0.37780519269599994</v>
      </c>
      <c r="F46" s="13">
        <v>25.50225</v>
      </c>
      <c r="G46" s="38">
        <f t="shared" si="0"/>
        <v>67.978684925292953</v>
      </c>
    </row>
    <row r="47" spans="1:7" x14ac:dyDescent="0.6">
      <c r="A47" s="24">
        <v>1936</v>
      </c>
      <c r="B47" s="13">
        <v>33.173004568536001</v>
      </c>
      <c r="C47" s="13">
        <v>10.45101885163816</v>
      </c>
      <c r="D47" s="13">
        <v>2.622242773460254</v>
      </c>
      <c r="E47" s="13">
        <v>0.39639893896799999</v>
      </c>
      <c r="F47" s="13">
        <v>25.659500000000001</v>
      </c>
      <c r="G47" s="38">
        <f t="shared" si="0"/>
        <v>72.302165132602411</v>
      </c>
    </row>
    <row r="48" spans="1:7" x14ac:dyDescent="0.6">
      <c r="A48" s="24">
        <v>1937</v>
      </c>
      <c r="B48" s="13">
        <v>34.684614544247999</v>
      </c>
      <c r="C48" s="13">
        <v>11.908760004634884</v>
      </c>
      <c r="D48" s="13">
        <v>2.8935295380230253</v>
      </c>
      <c r="E48" s="13">
        <v>0.40435277039999995</v>
      </c>
      <c r="F48" s="13">
        <v>25.816749999999999</v>
      </c>
      <c r="G48" s="38">
        <f t="shared" si="0"/>
        <v>75.708006857305918</v>
      </c>
    </row>
    <row r="49" spans="1:7" x14ac:dyDescent="0.6">
      <c r="A49" s="24">
        <v>1938</v>
      </c>
      <c r="B49" s="13">
        <v>32.607600653682006</v>
      </c>
      <c r="C49" s="13">
        <v>11.615382838106378</v>
      </c>
      <c r="D49" s="13">
        <v>2.7912854035539238</v>
      </c>
      <c r="E49" s="13">
        <v>0.38933806824000006</v>
      </c>
      <c r="F49" s="13">
        <v>25.974</v>
      </c>
      <c r="G49" s="38">
        <f t="shared" si="0"/>
        <v>73.377606963582309</v>
      </c>
    </row>
    <row r="50" spans="1:7" x14ac:dyDescent="0.6">
      <c r="A50" s="24">
        <v>1939</v>
      </c>
      <c r="B50" s="13">
        <v>34.270069344191995</v>
      </c>
      <c r="C50" s="13">
        <v>12.102142245458987</v>
      </c>
      <c r="D50" s="13">
        <v>2.9545400817865866</v>
      </c>
      <c r="E50" s="13">
        <v>0.40674360067200005</v>
      </c>
      <c r="F50" s="13">
        <v>26.131250000000001</v>
      </c>
      <c r="G50" s="38">
        <f t="shared" si="0"/>
        <v>75.864745272109573</v>
      </c>
    </row>
    <row r="51" spans="1:7" x14ac:dyDescent="0.6">
      <c r="A51" s="24">
        <v>1940</v>
      </c>
      <c r="B51" s="13">
        <v>37.693133862127191</v>
      </c>
      <c r="C51" s="13">
        <v>12.49976293053259</v>
      </c>
      <c r="D51" s="13">
        <v>3.2192520785646281</v>
      </c>
      <c r="E51" s="13">
        <v>0.43356482762400006</v>
      </c>
      <c r="F51" s="13">
        <v>26.288499999999999</v>
      </c>
      <c r="G51" s="38">
        <f t="shared" si="0"/>
        <v>80.134213698848413</v>
      </c>
    </row>
    <row r="52" spans="1:7" x14ac:dyDescent="0.6">
      <c r="A52" s="24">
        <v>1941</v>
      </c>
      <c r="B52" s="13">
        <v>39.400116099447601</v>
      </c>
      <c r="C52" s="13">
        <v>12.869316164393027</v>
      </c>
      <c r="D52" s="13">
        <v>3.3516224321590671</v>
      </c>
      <c r="E52" s="13">
        <v>0.45922304527200003</v>
      </c>
      <c r="F52" s="13">
        <v>26.33475</v>
      </c>
      <c r="G52" s="38">
        <f t="shared" si="0"/>
        <v>82.4150277412717</v>
      </c>
    </row>
    <row r="53" spans="1:7" x14ac:dyDescent="0.6">
      <c r="A53" s="24">
        <v>1942</v>
      </c>
      <c r="B53" s="13">
        <v>40.4935206028848</v>
      </c>
      <c r="C53" s="13">
        <v>12.123941721015454</v>
      </c>
      <c r="D53" s="13">
        <v>3.6634168660339239</v>
      </c>
      <c r="E53" s="13">
        <v>0.5259286501199999</v>
      </c>
      <c r="F53" s="13">
        <v>26.381</v>
      </c>
      <c r="G53" s="38">
        <f t="shared" si="0"/>
        <v>83.187807840054177</v>
      </c>
    </row>
    <row r="54" spans="1:7" x14ac:dyDescent="0.6">
      <c r="A54" s="24">
        <v>1943</v>
      </c>
      <c r="B54" s="13">
        <v>41.44927942990801</v>
      </c>
      <c r="C54" s="13">
        <v>13.057379796587792</v>
      </c>
      <c r="D54" s="13">
        <v>4.091971434836144</v>
      </c>
      <c r="E54" s="13">
        <v>0.56038685148</v>
      </c>
      <c r="F54" s="13">
        <v>26.427250000000001</v>
      </c>
      <c r="G54" s="38">
        <f t="shared" si="0"/>
        <v>85.586267512811943</v>
      </c>
    </row>
    <row r="55" spans="1:7" x14ac:dyDescent="0.6">
      <c r="A55" s="24">
        <v>1944</v>
      </c>
      <c r="B55" s="13">
        <v>39.919864274956815</v>
      </c>
      <c r="C55" s="13">
        <v>14.998929623618217</v>
      </c>
      <c r="D55" s="13">
        <v>4.5182106722270836</v>
      </c>
      <c r="E55" s="13">
        <v>0.63670258584000006</v>
      </c>
      <c r="F55" s="13">
        <v>26.473500000000001</v>
      </c>
      <c r="G55" s="38">
        <f t="shared" si="0"/>
        <v>86.547207156642116</v>
      </c>
    </row>
    <row r="56" spans="1:7" x14ac:dyDescent="0.6">
      <c r="A56" s="24">
        <v>1945</v>
      </c>
      <c r="B56" s="13">
        <v>31.911592987871998</v>
      </c>
      <c r="C56" s="13">
        <v>15.001453845859249</v>
      </c>
      <c r="D56" s="13">
        <v>4.8997935022366503</v>
      </c>
      <c r="E56" s="13">
        <v>0.65136442449600007</v>
      </c>
      <c r="F56" s="13">
        <v>26.519749999999998</v>
      </c>
      <c r="G56" s="38">
        <f t="shared" si="0"/>
        <v>78.983954760463888</v>
      </c>
    </row>
    <row r="57" spans="1:7" x14ac:dyDescent="0.6">
      <c r="A57" s="24">
        <v>1946</v>
      </c>
      <c r="B57" s="13">
        <v>33.059429060716795</v>
      </c>
      <c r="C57" s="13">
        <v>15.941128690492103</v>
      </c>
      <c r="D57" s="13">
        <v>5.1445763724088716</v>
      </c>
      <c r="E57" s="13">
        <v>0.70194632759999998</v>
      </c>
      <c r="F57" s="13">
        <v>26.565999999999999</v>
      </c>
      <c r="G57" s="38">
        <f t="shared" si="0"/>
        <v>81.413080451217766</v>
      </c>
    </row>
    <row r="58" spans="1:7" x14ac:dyDescent="0.6">
      <c r="A58" s="24">
        <v>1947</v>
      </c>
      <c r="B58" s="13">
        <v>37.073186573558395</v>
      </c>
      <c r="C58" s="13">
        <v>17.568088534329913</v>
      </c>
      <c r="D58" s="13">
        <v>7.3817269912840295</v>
      </c>
      <c r="E58" s="13">
        <v>0.73075871289599992</v>
      </c>
      <c r="F58" s="13">
        <v>26.61225</v>
      </c>
      <c r="G58" s="38">
        <f t="shared" si="0"/>
        <v>89.366010812068325</v>
      </c>
    </row>
    <row r="59" spans="1:7" x14ac:dyDescent="0.6">
      <c r="A59" s="24">
        <v>1948</v>
      </c>
      <c r="B59" s="13">
        <v>38.116970383622402</v>
      </c>
      <c r="C59" s="13">
        <v>19.891319043608796</v>
      </c>
      <c r="D59" s="13">
        <v>9.7600414268875166</v>
      </c>
      <c r="E59" s="13">
        <v>0.80025842059200003</v>
      </c>
      <c r="F59" s="13">
        <v>26.6585</v>
      </c>
      <c r="G59" s="38">
        <f t="shared" si="0"/>
        <v>95.227089274710721</v>
      </c>
    </row>
    <row r="60" spans="1:7" x14ac:dyDescent="0.6">
      <c r="A60" s="24">
        <v>1949</v>
      </c>
      <c r="B60" s="13">
        <v>36.105201109857596</v>
      </c>
      <c r="C60" s="13">
        <v>19.777894824926904</v>
      </c>
      <c r="D60" s="13">
        <v>9.9944872344903839</v>
      </c>
      <c r="E60" s="13">
        <v>0.86728448311200024</v>
      </c>
      <c r="F60" s="13">
        <v>26.704750000000001</v>
      </c>
      <c r="G60" s="38">
        <f t="shared" si="0"/>
        <v>93.449617652386891</v>
      </c>
    </row>
    <row r="61" spans="1:7" x14ac:dyDescent="0.6">
      <c r="A61" s="24">
        <v>1950</v>
      </c>
      <c r="B61" s="13">
        <v>39.660481970823596</v>
      </c>
      <c r="C61" s="13">
        <v>22.10850421026884</v>
      </c>
      <c r="D61" s="13">
        <v>11.206381549670919</v>
      </c>
      <c r="E61" s="13">
        <v>0.94598744709599947</v>
      </c>
      <c r="F61" s="13">
        <v>26.751000000000001</v>
      </c>
      <c r="G61" s="38">
        <f t="shared" si="0"/>
        <v>100.67235517785936</v>
      </c>
    </row>
    <row r="62" spans="1:7" x14ac:dyDescent="0.6">
      <c r="A62" s="24">
        <v>1951</v>
      </c>
      <c r="B62" s="13">
        <v>41.759786602303194</v>
      </c>
      <c r="C62" s="13">
        <v>25.078495343634472</v>
      </c>
      <c r="D62" s="13">
        <v>11.886916510907856</v>
      </c>
      <c r="E62" s="13">
        <v>0.88968411431999994</v>
      </c>
      <c r="F62" s="13">
        <v>27.047000000000001</v>
      </c>
      <c r="G62" s="38">
        <f t="shared" si="0"/>
        <v>106.66188257116552</v>
      </c>
    </row>
    <row r="63" spans="1:7" x14ac:dyDescent="0.6">
      <c r="A63" s="24">
        <v>1952</v>
      </c>
      <c r="B63" s="13">
        <v>41.378562192398398</v>
      </c>
      <c r="C63" s="13">
        <v>26.385266640459658</v>
      </c>
      <c r="D63" s="13">
        <v>12.755115670694384</v>
      </c>
      <c r="E63" s="13">
        <v>0.85741150629600016</v>
      </c>
      <c r="F63" s="13">
        <v>27.343</v>
      </c>
      <c r="G63" s="38">
        <f t="shared" si="0"/>
        <v>108.71935600984844</v>
      </c>
    </row>
    <row r="64" spans="1:7" x14ac:dyDescent="0.6">
      <c r="A64" s="24">
        <v>1953</v>
      </c>
      <c r="B64" s="13">
        <v>41.554483121304003</v>
      </c>
      <c r="C64" s="13">
        <v>27.905361477720739</v>
      </c>
      <c r="D64" s="13">
        <v>13.383624920601088</v>
      </c>
      <c r="E64" s="13">
        <v>0.93287028643199965</v>
      </c>
      <c r="F64" s="13">
        <v>27.638999999999999</v>
      </c>
      <c r="G64" s="38">
        <f t="shared" si="0"/>
        <v>111.41533980605783</v>
      </c>
    </row>
    <row r="65" spans="1:7" x14ac:dyDescent="0.6">
      <c r="A65" s="24">
        <v>1954</v>
      </c>
      <c r="B65" s="13">
        <v>41.093948280416399</v>
      </c>
      <c r="C65" s="13">
        <v>29.206442663005099</v>
      </c>
      <c r="D65" s="13">
        <v>14.91216187240277</v>
      </c>
      <c r="E65" s="13">
        <v>1.010943137016</v>
      </c>
      <c r="F65" s="13">
        <v>27.934999999999999</v>
      </c>
      <c r="G65" s="38">
        <f t="shared" si="0"/>
        <v>114.15849595284027</v>
      </c>
    </row>
    <row r="66" spans="1:7" x14ac:dyDescent="0.6">
      <c r="A66" s="24">
        <v>1955</v>
      </c>
      <c r="B66" s="13">
        <v>44.456772332833204</v>
      </c>
      <c r="C66" s="13">
        <v>32.717686593144251</v>
      </c>
      <c r="D66" s="13">
        <v>16.159957889529139</v>
      </c>
      <c r="E66" s="13">
        <v>1.1006172754560002</v>
      </c>
      <c r="F66" s="13">
        <v>28.231000000000002</v>
      </c>
      <c r="G66" s="38">
        <f t="shared" si="0"/>
        <v>122.6660340909626</v>
      </c>
    </row>
    <row r="67" spans="1:7" x14ac:dyDescent="0.6">
      <c r="A67" s="24">
        <v>1956</v>
      </c>
      <c r="B67" s="13">
        <v>46.84386684042358</v>
      </c>
      <c r="C67" s="13">
        <v>35.605202828548691</v>
      </c>
      <c r="D67" s="13">
        <v>17.362621982885443</v>
      </c>
      <c r="E67" s="13">
        <v>1.166246286552</v>
      </c>
      <c r="F67" s="13">
        <v>28.527000000000001</v>
      </c>
      <c r="G67" s="38">
        <f t="shared" si="0"/>
        <v>129.50493793840971</v>
      </c>
    </row>
    <row r="68" spans="1:7" x14ac:dyDescent="0.6">
      <c r="A68" s="24">
        <v>1957</v>
      </c>
      <c r="B68" s="13">
        <v>48.057350999425203</v>
      </c>
      <c r="C68" s="13">
        <v>37.515957371119512</v>
      </c>
      <c r="D68" s="13">
        <v>18.613178168687064</v>
      </c>
      <c r="E68" s="13">
        <v>1.3238970585839998</v>
      </c>
      <c r="F68" s="13">
        <v>28.823</v>
      </c>
      <c r="G68" s="38">
        <f t="shared" si="0"/>
        <v>134.33338359781575</v>
      </c>
    </row>
    <row r="69" spans="1:7" x14ac:dyDescent="0.6">
      <c r="A69" s="24">
        <v>1958</v>
      </c>
      <c r="B69" s="13">
        <v>49.188265755818385</v>
      </c>
      <c r="C69" s="13">
        <v>38.473771130367027</v>
      </c>
      <c r="D69" s="13">
        <v>19.711016200354063</v>
      </c>
      <c r="E69" s="13">
        <v>1.4525914193999998</v>
      </c>
      <c r="F69" s="13">
        <v>29.119</v>
      </c>
      <c r="G69" s="38">
        <f t="shared" si="0"/>
        <v>137.94464450593946</v>
      </c>
    </row>
    <row r="70" spans="1:7" x14ac:dyDescent="0.6">
      <c r="A70" s="24">
        <v>1959</v>
      </c>
      <c r="B70" s="13">
        <v>50.998881747578409</v>
      </c>
      <c r="C70" s="13">
        <v>41.502296490853361</v>
      </c>
      <c r="D70" s="13">
        <v>20.611200704109137</v>
      </c>
      <c r="E70" s="13">
        <v>1.5646723903439996</v>
      </c>
      <c r="F70" s="13">
        <v>29.414999999999999</v>
      </c>
      <c r="G70" s="38">
        <f t="shared" si="0"/>
        <v>144.09205133288492</v>
      </c>
    </row>
    <row r="71" spans="1:7" x14ac:dyDescent="0.6">
      <c r="A71" s="24">
        <v>1960</v>
      </c>
      <c r="B71" s="13">
        <v>52.220733921388792</v>
      </c>
      <c r="C71" s="13">
        <v>44.695592875953771</v>
      </c>
      <c r="D71" s="13">
        <v>21.395294707399191</v>
      </c>
      <c r="E71" s="13">
        <v>1.6193086230960003</v>
      </c>
      <c r="F71" s="13">
        <v>29.710999999999999</v>
      </c>
      <c r="G71" s="38">
        <f t="shared" si="0"/>
        <v>149.64193012783775</v>
      </c>
    </row>
    <row r="72" spans="1:7" x14ac:dyDescent="0.6">
      <c r="A72" s="24">
        <v>1961</v>
      </c>
      <c r="B72" s="13">
        <v>49.684093532942413</v>
      </c>
      <c r="C72" s="13">
        <v>47.582019061395272</v>
      </c>
      <c r="D72" s="13">
        <v>23.231353658486427</v>
      </c>
      <c r="E72" s="13">
        <v>1.7057457789839998</v>
      </c>
      <c r="F72" s="13">
        <v>30.051400000000001</v>
      </c>
      <c r="G72" s="38">
        <f t="shared" si="0"/>
        <v>152.25461203180811</v>
      </c>
    </row>
    <row r="73" spans="1:7" x14ac:dyDescent="0.6">
      <c r="A73" s="24">
        <v>1962</v>
      </c>
      <c r="B73" s="13">
        <v>49.736170822841991</v>
      </c>
      <c r="C73" s="13">
        <v>51.589965481819796</v>
      </c>
      <c r="D73" s="13">
        <v>24.805185867500395</v>
      </c>
      <c r="E73" s="13">
        <v>1.8315200142719994</v>
      </c>
      <c r="F73" s="13">
        <v>30.3918</v>
      </c>
      <c r="G73" s="38">
        <f t="shared" si="0"/>
        <v>158.35464218643418</v>
      </c>
    </row>
    <row r="74" spans="1:7" x14ac:dyDescent="0.6">
      <c r="A74" s="24">
        <v>1963</v>
      </c>
      <c r="B74" s="13">
        <v>51.2049039597864</v>
      </c>
      <c r="C74" s="13">
        <v>55.366698911593481</v>
      </c>
      <c r="D74" s="13">
        <v>26.458915623297973</v>
      </c>
      <c r="E74" s="13">
        <v>1.9743722067599994</v>
      </c>
      <c r="F74" s="13">
        <v>30.732200000000002</v>
      </c>
      <c r="G74" s="38">
        <f t="shared" si="0"/>
        <v>165.73709070143786</v>
      </c>
    </row>
    <row r="75" spans="1:7" x14ac:dyDescent="0.6">
      <c r="A75" s="24">
        <v>1964</v>
      </c>
      <c r="B75" s="13">
        <v>52.548123778632004</v>
      </c>
      <c r="C75" s="13">
        <v>59.819930264675826</v>
      </c>
      <c r="D75" s="13">
        <v>28.792226205135616</v>
      </c>
      <c r="E75" s="13">
        <v>2.1277259403480002</v>
      </c>
      <c r="F75" s="13">
        <v>31.072599999999998</v>
      </c>
      <c r="G75" s="38">
        <f t="shared" si="0"/>
        <v>174.36060618879145</v>
      </c>
    </row>
    <row r="76" spans="1:7" x14ac:dyDescent="0.6">
      <c r="A76" s="24">
        <v>1965</v>
      </c>
      <c r="B76" s="13">
        <v>53.677143396752399</v>
      </c>
      <c r="C76" s="13">
        <v>64.222044275539346</v>
      </c>
      <c r="D76" s="13">
        <v>30.431659476487095</v>
      </c>
      <c r="E76" s="13">
        <v>2.3489170545600015</v>
      </c>
      <c r="F76" s="13">
        <v>31.413</v>
      </c>
      <c r="G76" s="38">
        <f t="shared" ref="G76:G120" si="1">SUM(B76:F76)</f>
        <v>182.09276420333885</v>
      </c>
    </row>
    <row r="77" spans="1:7" x14ac:dyDescent="0.6">
      <c r="A77" s="24">
        <v>1966</v>
      </c>
      <c r="B77" s="13">
        <v>54.154791924991201</v>
      </c>
      <c r="C77" s="13">
        <v>69.741876427751436</v>
      </c>
      <c r="D77" s="13">
        <v>31.651790608969666</v>
      </c>
      <c r="E77" s="13">
        <v>2.433544340544</v>
      </c>
      <c r="F77" s="13">
        <v>31.753400000000003</v>
      </c>
      <c r="G77" s="38">
        <f t="shared" si="1"/>
        <v>189.73540330225629</v>
      </c>
    </row>
    <row r="78" spans="1:7" x14ac:dyDescent="0.6">
      <c r="A78" s="24">
        <v>1967</v>
      </c>
      <c r="B78" s="13">
        <v>53.103903634490386</v>
      </c>
      <c r="C78" s="13">
        <v>74.946097134343631</v>
      </c>
      <c r="D78" s="13">
        <v>33.905790757979538</v>
      </c>
      <c r="E78" s="13">
        <v>2.6702481349079994</v>
      </c>
      <c r="F78" s="13">
        <v>32.093800000000002</v>
      </c>
      <c r="G78" s="38">
        <f t="shared" si="1"/>
        <v>196.71983966172155</v>
      </c>
    </row>
    <row r="79" spans="1:7" x14ac:dyDescent="0.6">
      <c r="A79" s="24">
        <v>1968</v>
      </c>
      <c r="B79" s="13">
        <v>53.244636920992797</v>
      </c>
      <c r="C79" s="13">
        <v>81.662348751418122</v>
      </c>
      <c r="D79" s="13">
        <v>35.486735483765038</v>
      </c>
      <c r="E79" s="13">
        <v>2.8574381625839997</v>
      </c>
      <c r="F79" s="13">
        <v>32.434200000000004</v>
      </c>
      <c r="G79" s="38">
        <f t="shared" si="1"/>
        <v>205.68535931875996</v>
      </c>
    </row>
    <row r="80" spans="1:7" x14ac:dyDescent="0.6">
      <c r="A80" s="24">
        <v>1969</v>
      </c>
      <c r="B80" s="13">
        <v>54.804688737922795</v>
      </c>
      <c r="C80" s="13">
        <v>88.157294649583321</v>
      </c>
      <c r="D80" s="13">
        <v>37.669133367108671</v>
      </c>
      <c r="E80" s="13">
        <v>3.0522981566519998</v>
      </c>
      <c r="F80" s="13">
        <v>32.7746</v>
      </c>
      <c r="G80" s="38">
        <f t="shared" si="1"/>
        <v>216.45801491126676</v>
      </c>
    </row>
    <row r="81" spans="1:7" x14ac:dyDescent="0.6">
      <c r="A81" s="24">
        <v>1970</v>
      </c>
      <c r="B81" s="13">
        <v>58.096118760796791</v>
      </c>
      <c r="C81" s="13">
        <v>96.612477478987671</v>
      </c>
      <c r="D81" s="13">
        <v>39.520317413094347</v>
      </c>
      <c r="E81" s="13">
        <v>3.2620343116679984</v>
      </c>
      <c r="F81" s="13">
        <v>33.115000000000002</v>
      </c>
      <c r="G81" s="38">
        <f t="shared" si="1"/>
        <v>230.60594796454683</v>
      </c>
    </row>
    <row r="82" spans="1:7" x14ac:dyDescent="0.6">
      <c r="A82" s="24">
        <v>1971</v>
      </c>
      <c r="B82" s="13">
        <v>58.028583453605997</v>
      </c>
      <c r="C82" s="13">
        <v>102.51237709358608</v>
      </c>
      <c r="D82" s="13">
        <v>42.467852853671708</v>
      </c>
      <c r="E82" s="13">
        <v>3.4295724631079998</v>
      </c>
      <c r="F82" s="13">
        <v>33.521999999999998</v>
      </c>
      <c r="G82" s="38">
        <f t="shared" si="1"/>
        <v>239.96038586397177</v>
      </c>
    </row>
    <row r="83" spans="1:7" x14ac:dyDescent="0.6">
      <c r="A83" s="24">
        <v>1972</v>
      </c>
      <c r="B83" s="13">
        <v>58.977077332708802</v>
      </c>
      <c r="C83" s="13">
        <v>108.19862364618574</v>
      </c>
      <c r="D83" s="13">
        <v>44.39750290844033</v>
      </c>
      <c r="E83" s="13">
        <v>3.819430531908</v>
      </c>
      <c r="F83" s="13">
        <v>33.929000000000002</v>
      </c>
      <c r="G83" s="38">
        <f t="shared" si="1"/>
        <v>249.32163441924291</v>
      </c>
    </row>
    <row r="84" spans="1:7" x14ac:dyDescent="0.6">
      <c r="A84" s="24">
        <v>1973</v>
      </c>
      <c r="B84" s="13">
        <v>59.491318806957601</v>
      </c>
      <c r="C84" s="13">
        <v>118.08495687936563</v>
      </c>
      <c r="D84" s="13">
        <v>46.677006383344349</v>
      </c>
      <c r="E84" s="13">
        <v>4.1591647335240003</v>
      </c>
      <c r="F84" s="13">
        <v>34.335999999999999</v>
      </c>
      <c r="G84" s="38">
        <f t="shared" si="1"/>
        <v>262.7484468031916</v>
      </c>
    </row>
    <row r="85" spans="1:7" x14ac:dyDescent="0.6">
      <c r="A85" s="24">
        <v>1974</v>
      </c>
      <c r="B85" s="13">
        <v>59.8733396718264</v>
      </c>
      <c r="C85" s="13">
        <v>118.33559352942905</v>
      </c>
      <c r="D85" s="13">
        <v>47.141926914770785</v>
      </c>
      <c r="E85" s="13">
        <v>4.3297673294880008</v>
      </c>
      <c r="F85" s="13">
        <v>34.743000000000002</v>
      </c>
      <c r="G85" s="38">
        <f t="shared" si="1"/>
        <v>264.42362744551423</v>
      </c>
    </row>
    <row r="86" spans="1:7" x14ac:dyDescent="0.6">
      <c r="A86" s="24">
        <v>1975</v>
      </c>
      <c r="B86" s="13">
        <v>63.881668173668409</v>
      </c>
      <c r="C86" s="13">
        <v>112.33625306841589</v>
      </c>
      <c r="D86" s="13">
        <v>46.700094961279923</v>
      </c>
      <c r="E86" s="13">
        <v>4.6458456505559989</v>
      </c>
      <c r="F86" s="13">
        <v>35.15</v>
      </c>
      <c r="G86" s="38">
        <f t="shared" si="1"/>
        <v>262.71386185392021</v>
      </c>
    </row>
    <row r="87" spans="1:7" x14ac:dyDescent="0.6">
      <c r="A87" s="24">
        <v>1976</v>
      </c>
      <c r="B87" s="13">
        <v>65.285029385784</v>
      </c>
      <c r="C87" s="13">
        <v>122.30117706459743</v>
      </c>
      <c r="D87" s="13">
        <v>48.940647733827134</v>
      </c>
      <c r="E87" s="13">
        <v>5.0086859221440001</v>
      </c>
      <c r="F87" s="13">
        <v>35.557000000000002</v>
      </c>
      <c r="G87" s="38">
        <f t="shared" si="1"/>
        <v>277.09254010635254</v>
      </c>
    </row>
    <row r="88" spans="1:7" x14ac:dyDescent="0.6">
      <c r="A88" s="24">
        <v>1977</v>
      </c>
      <c r="B88" s="13">
        <v>67.292555551275612</v>
      </c>
      <c r="C88" s="13">
        <v>126.21106346037305</v>
      </c>
      <c r="D88" s="13">
        <v>52.304583811732599</v>
      </c>
      <c r="E88" s="13">
        <v>5.1780932285759986</v>
      </c>
      <c r="F88" s="13">
        <v>35.963999999999999</v>
      </c>
      <c r="G88" s="38">
        <f t="shared" si="1"/>
        <v>286.95029605195725</v>
      </c>
    </row>
    <row r="89" spans="1:7" x14ac:dyDescent="0.6">
      <c r="A89" s="24">
        <v>1978</v>
      </c>
      <c r="B89" s="13">
        <v>68.103025899451183</v>
      </c>
      <c r="C89" s="13">
        <v>125.80450626520808</v>
      </c>
      <c r="D89" s="13">
        <v>55.072854290196837</v>
      </c>
      <c r="E89" s="13">
        <v>5.8263055788239972</v>
      </c>
      <c r="F89" s="13">
        <v>36.371000000000002</v>
      </c>
      <c r="G89" s="38">
        <f t="shared" si="1"/>
        <v>291.17769203368005</v>
      </c>
    </row>
    <row r="90" spans="1:7" x14ac:dyDescent="0.6">
      <c r="A90" s="24">
        <v>1979</v>
      </c>
      <c r="B90" s="13">
        <v>72.262188367916409</v>
      </c>
      <c r="C90" s="13">
        <v>133.40707192554336</v>
      </c>
      <c r="D90" s="13">
        <v>57.978110890918337</v>
      </c>
      <c r="E90" s="13">
        <v>6.521117138675999</v>
      </c>
      <c r="F90" s="13">
        <v>36.777999999999999</v>
      </c>
      <c r="G90" s="38">
        <f t="shared" si="1"/>
        <v>306.94648832305415</v>
      </c>
    </row>
    <row r="91" spans="1:7" x14ac:dyDescent="0.6">
      <c r="A91" s="24">
        <v>1980</v>
      </c>
      <c r="B91" s="13">
        <v>74.734969158122382</v>
      </c>
      <c r="C91" s="13">
        <v>125.87924932396865</v>
      </c>
      <c r="D91" s="13">
        <v>58.842601890192121</v>
      </c>
      <c r="E91" s="13">
        <v>7.2360825302159997</v>
      </c>
      <c r="F91" s="13">
        <v>37.185000000000002</v>
      </c>
      <c r="G91" s="38">
        <f t="shared" si="1"/>
        <v>303.8779029024991</v>
      </c>
    </row>
    <row r="92" spans="1:7" x14ac:dyDescent="0.6">
      <c r="A92" s="24">
        <v>1981</v>
      </c>
      <c r="B92" s="13">
        <v>73.894393549184386</v>
      </c>
      <c r="C92" s="13">
        <v>117.97142876846227</v>
      </c>
      <c r="D92" s="13">
        <v>60.332296295809634</v>
      </c>
      <c r="E92" s="13">
        <v>8.3245472837279983</v>
      </c>
      <c r="F92" s="13">
        <v>37.608650000000004</v>
      </c>
      <c r="G92" s="38">
        <f t="shared" si="1"/>
        <v>298.13131589718432</v>
      </c>
    </row>
    <row r="93" spans="1:7" x14ac:dyDescent="0.6">
      <c r="A93" s="24">
        <v>1982</v>
      </c>
      <c r="B93" s="13">
        <v>77.150996773199992</v>
      </c>
      <c r="C93" s="13">
        <v>112.69435591772469</v>
      </c>
      <c r="D93" s="13">
        <v>62.184620465108473</v>
      </c>
      <c r="E93" s="13">
        <v>9.601273927583998</v>
      </c>
      <c r="F93" s="13">
        <v>38.032300000000006</v>
      </c>
      <c r="G93" s="38">
        <f t="shared" si="1"/>
        <v>299.66354708361717</v>
      </c>
    </row>
    <row r="94" spans="1:7" x14ac:dyDescent="0.6">
      <c r="A94" s="24">
        <v>1983</v>
      </c>
      <c r="B94" s="13">
        <v>77.171961722025614</v>
      </c>
      <c r="C94" s="13">
        <v>111.74566407049369</v>
      </c>
      <c r="D94" s="13">
        <v>63.865739798762732</v>
      </c>
      <c r="E94" s="13">
        <v>10.28439083394</v>
      </c>
      <c r="F94" s="13">
        <v>38.455949999999994</v>
      </c>
      <c r="G94" s="38">
        <f t="shared" si="1"/>
        <v>301.52370642522197</v>
      </c>
    </row>
    <row r="95" spans="1:7" x14ac:dyDescent="0.6">
      <c r="A95" s="24">
        <v>1984</v>
      </c>
      <c r="B95" s="13">
        <v>81.184416876298812</v>
      </c>
      <c r="C95" s="13">
        <v>112.73313473692021</v>
      </c>
      <c r="D95" s="13">
        <v>66.502997836052842</v>
      </c>
      <c r="E95" s="13">
        <v>11.606942631816002</v>
      </c>
      <c r="F95" s="13">
        <v>38.879599999999996</v>
      </c>
      <c r="G95" s="38">
        <f t="shared" si="1"/>
        <v>310.90709208108785</v>
      </c>
    </row>
    <row r="96" spans="1:7" x14ac:dyDescent="0.6">
      <c r="A96" s="24">
        <v>1985</v>
      </c>
      <c r="B96" s="13">
        <v>85.946790737692808</v>
      </c>
      <c r="C96" s="13">
        <v>112.4488181701326</v>
      </c>
      <c r="D96" s="13">
        <v>69.192006803496952</v>
      </c>
      <c r="E96" s="13">
        <v>12.971273878871999</v>
      </c>
      <c r="F96" s="13">
        <v>39.303249999999998</v>
      </c>
      <c r="G96" s="38">
        <f t="shared" si="1"/>
        <v>319.86213959019437</v>
      </c>
    </row>
    <row r="97" spans="1:7" x14ac:dyDescent="0.6">
      <c r="A97" s="24">
        <v>1986</v>
      </c>
      <c r="B97" s="13">
        <v>88.145922836743154</v>
      </c>
      <c r="C97" s="13">
        <v>118.01578980935152</v>
      </c>
      <c r="D97" s="13">
        <v>69.17285273847618</v>
      </c>
      <c r="E97" s="13">
        <v>13.600896209100002</v>
      </c>
      <c r="F97" s="13">
        <v>39.726900000000001</v>
      </c>
      <c r="G97" s="38">
        <f t="shared" si="1"/>
        <v>328.66236159367088</v>
      </c>
    </row>
    <row r="98" spans="1:7" x14ac:dyDescent="0.6">
      <c r="A98" s="24">
        <v>1987</v>
      </c>
      <c r="B98" s="13">
        <v>90.503907499457981</v>
      </c>
      <c r="C98" s="13">
        <v>118.18492881976891</v>
      </c>
      <c r="D98" s="13">
        <v>72.8899559514999</v>
      </c>
      <c r="E98" s="13">
        <v>14.645797517952001</v>
      </c>
      <c r="F98" s="13">
        <v>40.150550000000003</v>
      </c>
      <c r="G98" s="38">
        <f t="shared" si="1"/>
        <v>336.37513978867884</v>
      </c>
    </row>
    <row r="99" spans="1:7" x14ac:dyDescent="0.6">
      <c r="A99" s="24">
        <v>1988</v>
      </c>
      <c r="B99" s="13">
        <v>91.465188556582845</v>
      </c>
      <c r="C99" s="13">
        <v>122.97977038421368</v>
      </c>
      <c r="D99" s="13">
        <v>74.667814862853888</v>
      </c>
      <c r="E99" s="13">
        <v>16.009471897956001</v>
      </c>
      <c r="F99" s="13">
        <v>40.574199999999998</v>
      </c>
      <c r="G99" s="38">
        <f t="shared" si="1"/>
        <v>345.69644570160648</v>
      </c>
    </row>
    <row r="100" spans="1:7" x14ac:dyDescent="0.6">
      <c r="A100" s="24">
        <v>1989</v>
      </c>
      <c r="B100" s="13">
        <v>94.227670689692417</v>
      </c>
      <c r="C100" s="13">
        <v>125.26125712952353</v>
      </c>
      <c r="D100" s="13">
        <v>76.747913754056654</v>
      </c>
      <c r="E100" s="13">
        <v>17.074840587948</v>
      </c>
      <c r="F100" s="13">
        <v>40.99785</v>
      </c>
      <c r="G100" s="38">
        <f t="shared" si="1"/>
        <v>354.30953216122066</v>
      </c>
    </row>
    <row r="101" spans="1:7" x14ac:dyDescent="0.6">
      <c r="A101" s="24">
        <v>1990</v>
      </c>
      <c r="B101" s="13">
        <v>92.59478767806479</v>
      </c>
      <c r="C101" s="13">
        <v>127.72578086321053</v>
      </c>
      <c r="D101" s="13">
        <v>78.356616566218676</v>
      </c>
      <c r="E101" s="13">
        <v>18.947094439968001</v>
      </c>
      <c r="F101" s="13">
        <v>41.421500000000002</v>
      </c>
      <c r="G101" s="38">
        <f t="shared" si="1"/>
        <v>359.04577954746196</v>
      </c>
    </row>
    <row r="102" spans="1:7" x14ac:dyDescent="0.6">
      <c r="A102" s="24">
        <v>1991</v>
      </c>
      <c r="B102" s="13">
        <v>90.086509962352835</v>
      </c>
      <c r="C102" s="13">
        <v>126.72468642245727</v>
      </c>
      <c r="D102" s="13">
        <v>79.467755946005141</v>
      </c>
      <c r="E102" s="13">
        <v>21.878934383159997</v>
      </c>
      <c r="F102" s="13">
        <v>41.824800000000003</v>
      </c>
      <c r="G102" s="38">
        <f t="shared" si="1"/>
        <v>359.98268671397523</v>
      </c>
    </row>
    <row r="103" spans="1:7" x14ac:dyDescent="0.6">
      <c r="A103" s="24">
        <v>1992</v>
      </c>
      <c r="B103" s="13">
        <v>92.290747076884784</v>
      </c>
      <c r="C103" s="13">
        <v>127.86833144344828</v>
      </c>
      <c r="D103" s="13">
        <v>78.550570179374915</v>
      </c>
      <c r="E103" s="13">
        <v>24.802065866087997</v>
      </c>
      <c r="F103" s="13">
        <v>42.228099999999998</v>
      </c>
      <c r="G103" s="38">
        <f t="shared" si="1"/>
        <v>365.739814565796</v>
      </c>
    </row>
    <row r="104" spans="1:7" x14ac:dyDescent="0.6">
      <c r="A104" s="24">
        <v>1993</v>
      </c>
      <c r="B104" s="13">
        <v>90.098713027346392</v>
      </c>
      <c r="C104" s="13">
        <v>127.15662844015401</v>
      </c>
      <c r="D104" s="13">
        <v>80.142866919187341</v>
      </c>
      <c r="E104" s="13">
        <v>26.381428774667995</v>
      </c>
      <c r="F104" s="13">
        <v>42.631399999999999</v>
      </c>
      <c r="G104" s="38">
        <f t="shared" si="1"/>
        <v>366.41103716135569</v>
      </c>
    </row>
    <row r="105" spans="1:7" x14ac:dyDescent="0.6">
      <c r="A105" s="24">
        <v>1994</v>
      </c>
      <c r="B105" s="13">
        <v>92.757838655912366</v>
      </c>
      <c r="C105" s="13">
        <v>129.28804938710479</v>
      </c>
      <c r="D105" s="13">
        <v>81.938503856549232</v>
      </c>
      <c r="E105" s="13">
        <v>28.408192084547998</v>
      </c>
      <c r="F105" s="13">
        <v>43.034699999999994</v>
      </c>
      <c r="G105" s="38">
        <f t="shared" si="1"/>
        <v>375.42728398411435</v>
      </c>
    </row>
    <row r="106" spans="1:7" x14ac:dyDescent="0.6">
      <c r="A106" s="24">
        <v>1995</v>
      </c>
      <c r="B106" s="13">
        <v>95.654759996282422</v>
      </c>
      <c r="C106" s="13">
        <v>130.45705026772498</v>
      </c>
      <c r="D106" s="13">
        <v>86.564037732324394</v>
      </c>
      <c r="E106" s="13">
        <v>30.109419385236002</v>
      </c>
      <c r="F106" s="13">
        <v>43.438000000000002</v>
      </c>
      <c r="G106" s="38">
        <f t="shared" si="1"/>
        <v>386.22326738156778</v>
      </c>
    </row>
    <row r="107" spans="1:7" x14ac:dyDescent="0.6">
      <c r="A107" s="24">
        <v>1996</v>
      </c>
      <c r="B107" s="13">
        <v>96.070473757339229</v>
      </c>
      <c r="C107" s="13">
        <v>140.7863845795533</v>
      </c>
      <c r="D107" s="13">
        <v>87.512699508500958</v>
      </c>
      <c r="E107" s="13">
        <v>31.056169290479996</v>
      </c>
      <c r="F107" s="13">
        <v>43.841300000000004</v>
      </c>
      <c r="G107" s="38">
        <f t="shared" si="1"/>
        <v>399.26702713587349</v>
      </c>
    </row>
    <row r="108" spans="1:7" x14ac:dyDescent="0.6">
      <c r="A108" s="24">
        <v>1997</v>
      </c>
      <c r="B108" s="13">
        <v>97.137383030632762</v>
      </c>
      <c r="C108" s="13">
        <v>146.55090813386443</v>
      </c>
      <c r="D108" s="13">
        <v>88.60069031220479</v>
      </c>
      <c r="E108" s="13">
        <v>32.372733126995996</v>
      </c>
      <c r="F108" s="13">
        <v>44.244599999999998</v>
      </c>
      <c r="G108" s="38">
        <f t="shared" si="1"/>
        <v>408.90631460369798</v>
      </c>
    </row>
    <row r="109" spans="1:7" x14ac:dyDescent="0.6">
      <c r="A109" s="24">
        <v>1998</v>
      </c>
      <c r="B109" s="13">
        <v>94.394357735868013</v>
      </c>
      <c r="C109" s="13">
        <v>152.03525161093199</v>
      </c>
      <c r="D109" s="13">
        <v>81.065121500483997</v>
      </c>
      <c r="E109" s="13">
        <v>33.655108098995996</v>
      </c>
      <c r="F109" s="13">
        <v>44.6479</v>
      </c>
      <c r="G109" s="38">
        <f t="shared" si="1"/>
        <v>405.79773894627999</v>
      </c>
    </row>
    <row r="110" spans="1:7" x14ac:dyDescent="0.6">
      <c r="A110" s="24">
        <v>1999</v>
      </c>
      <c r="B110" s="13">
        <v>92.983540322807983</v>
      </c>
      <c r="C110" s="13">
        <v>148.903186791888</v>
      </c>
      <c r="D110" s="13">
        <v>83.596998156263993</v>
      </c>
      <c r="E110" s="13">
        <v>34.467009340499999</v>
      </c>
      <c r="F110" s="13">
        <v>45.051199999999994</v>
      </c>
      <c r="G110" s="38">
        <f t="shared" si="1"/>
        <v>405.00193461146</v>
      </c>
    </row>
    <row r="111" spans="1:7" x14ac:dyDescent="0.6">
      <c r="A111" s="24">
        <v>2000</v>
      </c>
      <c r="B111" s="13">
        <v>93.086785219824009</v>
      </c>
      <c r="C111" s="13">
        <v>154.35907780111199</v>
      </c>
      <c r="D111" s="13">
        <v>86.649934297499996</v>
      </c>
      <c r="E111" s="13">
        <v>35.554981768200001</v>
      </c>
      <c r="F111" s="13">
        <v>45.454500000000003</v>
      </c>
      <c r="G111" s="38">
        <f t="shared" si="1"/>
        <v>415.10527908663596</v>
      </c>
    </row>
    <row r="112" spans="1:7" x14ac:dyDescent="0.6">
      <c r="A112" s="24">
        <v>2001</v>
      </c>
      <c r="B112" s="13">
        <v>96.984079262316001</v>
      </c>
      <c r="C112" s="13">
        <v>154.64690581478399</v>
      </c>
      <c r="D112" s="13">
        <v>87.976813697460003</v>
      </c>
      <c r="E112" s="13">
        <v>36.163897985951998</v>
      </c>
      <c r="F112" s="13">
        <v>45.587593835976222</v>
      </c>
      <c r="G112" s="38">
        <f t="shared" si="1"/>
        <v>421.35929059648822</v>
      </c>
    </row>
    <row r="113" spans="1:7" x14ac:dyDescent="0.6">
      <c r="A113" s="24">
        <v>2002</v>
      </c>
      <c r="B113" s="13">
        <v>99.250777320119994</v>
      </c>
      <c r="C113" s="13">
        <v>153.86822226766799</v>
      </c>
      <c r="D113" s="13">
        <v>89.963885934000004</v>
      </c>
      <c r="E113" s="13">
        <v>37.408513297320006</v>
      </c>
      <c r="F113" s="13">
        <v>46.370373558557453</v>
      </c>
      <c r="G113" s="38">
        <f t="shared" si="1"/>
        <v>426.86177237766543</v>
      </c>
    </row>
    <row r="114" spans="1:7" x14ac:dyDescent="0.6">
      <c r="A114" s="24">
        <v>2003</v>
      </c>
      <c r="B114" s="13">
        <v>106.357326915348</v>
      </c>
      <c r="C114" s="13">
        <v>158.90964147144001</v>
      </c>
      <c r="D114" s="13">
        <v>93.470728219451999</v>
      </c>
      <c r="E114" s="13">
        <v>36.824109914339999</v>
      </c>
      <c r="F114" s="13">
        <v>47.61079882442754</v>
      </c>
      <c r="G114" s="38">
        <f t="shared" si="1"/>
        <v>443.17260534500753</v>
      </c>
    </row>
    <row r="115" spans="1:7" x14ac:dyDescent="0.6">
      <c r="A115" s="24">
        <v>2004</v>
      </c>
      <c r="B115" s="13">
        <v>115.83108117259201</v>
      </c>
      <c r="C115" s="13">
        <v>164.954422480392</v>
      </c>
      <c r="D115" s="13">
        <v>96.411623876100009</v>
      </c>
      <c r="E115" s="13">
        <v>37.123154323344004</v>
      </c>
      <c r="F115" s="13">
        <v>48.66863354794004</v>
      </c>
      <c r="G115" s="38">
        <f t="shared" si="1"/>
        <v>462.98891540036806</v>
      </c>
    </row>
    <row r="116" spans="1:7" x14ac:dyDescent="0.6">
      <c r="A116" s="24">
        <v>2005</v>
      </c>
      <c r="B116" s="13">
        <v>123.27059545812</v>
      </c>
      <c r="C116" s="13">
        <v>167.570126366544</v>
      </c>
      <c r="D116" s="13">
        <v>99.108702616392009</v>
      </c>
      <c r="E116" s="13">
        <v>39.958767116207994</v>
      </c>
      <c r="F116" s="13">
        <v>49.559063291613057</v>
      </c>
      <c r="G116" s="38">
        <f t="shared" si="1"/>
        <v>479.46725484887702</v>
      </c>
    </row>
    <row r="117" spans="1:7" x14ac:dyDescent="0.6">
      <c r="A117" s="24">
        <v>2006</v>
      </c>
      <c r="B117" s="13">
        <v>129.99620419866</v>
      </c>
      <c r="C117" s="13">
        <v>167.966957467008</v>
      </c>
      <c r="D117" s="13">
        <v>102.183204545748</v>
      </c>
      <c r="E117" s="13">
        <v>41.199862542947997</v>
      </c>
      <c r="F117" s="13">
        <v>50.726519452780451</v>
      </c>
      <c r="G117" s="38">
        <f t="shared" si="1"/>
        <v>492.0727482071444</v>
      </c>
    </row>
    <row r="118" spans="1:7" x14ac:dyDescent="0.6">
      <c r="A118" s="24">
        <v>2007</v>
      </c>
      <c r="B118" s="13">
        <v>135.14528223334801</v>
      </c>
      <c r="C118" s="13">
        <v>167.41472419918799</v>
      </c>
      <c r="D118" s="13">
        <v>104.993407230732</v>
      </c>
      <c r="E118" s="13">
        <v>42.314819064120002</v>
      </c>
      <c r="F118" s="13">
        <v>52.510963917524833</v>
      </c>
      <c r="G118" s="38">
        <f t="shared" si="1"/>
        <v>502.37919664491278</v>
      </c>
    </row>
    <row r="119" spans="1:7" x14ac:dyDescent="0.6">
      <c r="A119" s="24">
        <v>2008</v>
      </c>
      <c r="B119" s="13">
        <v>142.88259489433202</v>
      </c>
      <c r="C119" s="13">
        <v>169.202904260184</v>
      </c>
      <c r="D119" s="13">
        <v>109.19894885478</v>
      </c>
      <c r="E119" s="13">
        <v>42.703514123615996</v>
      </c>
      <c r="F119" s="13">
        <v>53.888976487717748</v>
      </c>
      <c r="G119" s="38">
        <f t="shared" si="1"/>
        <v>517.87693862062974</v>
      </c>
    </row>
    <row r="120" spans="1:7" x14ac:dyDescent="0.6">
      <c r="A120" s="24">
        <v>2009</v>
      </c>
      <c r="B120" s="13">
        <v>146.55287209975199</v>
      </c>
      <c r="C120" s="13">
        <v>164.64640776865198</v>
      </c>
      <c r="D120" s="13">
        <v>107.18926140869999</v>
      </c>
      <c r="E120" s="13">
        <v>43.137315965988002</v>
      </c>
      <c r="F120" s="13">
        <v>55.266989057910678</v>
      </c>
      <c r="G120" s="38">
        <f t="shared" si="1"/>
        <v>516.79284630100267</v>
      </c>
    </row>
    <row r="121" spans="1:7" x14ac:dyDescent="0.6">
      <c r="A121" s="24"/>
    </row>
    <row r="122" spans="1:7" x14ac:dyDescent="0.6">
      <c r="A122" s="25"/>
    </row>
  </sheetData>
  <phoneticPr fontId="4" type="noConversion"/>
  <pageMargins left="0.78740157499999996" right="0.78740157499999996" top="0.984251969" bottom="0.984251969" header="0.4921259845" footer="0.492125984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554A-8DAB-47DC-BC33-00D85391E3CE}">
  <dimension ref="A1:DV124"/>
  <sheetViews>
    <sheetView zoomScale="75" workbookViewId="0">
      <pane xSplit="1" ySplit="10" topLeftCell="B104" activePane="bottomRight" state="frozen"/>
      <selection pane="topRight" activeCell="B1" sqref="B1"/>
      <selection pane="bottomLeft" activeCell="A10" sqref="A10"/>
      <selection pane="bottomRight"/>
    </sheetView>
  </sheetViews>
  <sheetFormatPr defaultRowHeight="13" x14ac:dyDescent="0.6"/>
  <cols>
    <col min="1" max="1" width="13.86328125" style="14" customWidth="1"/>
    <col min="2" max="2" width="13.1328125" style="26" customWidth="1"/>
    <col min="3" max="8" width="11.40625" style="8" customWidth="1"/>
    <col min="9" max="256" width="10.90625" customWidth="1"/>
  </cols>
  <sheetData>
    <row r="1" spans="1:126" s="34" customFormat="1" ht="15.5" x14ac:dyDescent="0.7">
      <c r="A1" s="35" t="s">
        <v>79</v>
      </c>
      <c r="C1" s="41"/>
      <c r="D1" s="41"/>
      <c r="E1" s="41"/>
      <c r="F1" s="41"/>
      <c r="G1" s="41"/>
      <c r="H1" s="41"/>
    </row>
    <row r="2" spans="1:126" s="11" customFormat="1" ht="15.5" x14ac:dyDescent="0.7">
      <c r="A2" s="11" t="s">
        <v>57</v>
      </c>
      <c r="B2" s="34" t="s">
        <v>47</v>
      </c>
      <c r="C2" s="36"/>
      <c r="D2" s="36"/>
      <c r="E2" s="36"/>
      <c r="F2" s="36"/>
      <c r="G2" s="36"/>
      <c r="H2" s="36"/>
    </row>
    <row r="3" spans="1:126" s="11" customFormat="1" ht="15.5" x14ac:dyDescent="0.7">
      <c r="A3" s="11" t="s">
        <v>58</v>
      </c>
      <c r="B3" s="34" t="s">
        <v>60</v>
      </c>
      <c r="C3" s="36"/>
      <c r="D3" s="36"/>
      <c r="E3" s="36"/>
      <c r="F3" s="36"/>
      <c r="G3" s="36"/>
      <c r="H3" s="36"/>
    </row>
    <row r="4" spans="1:126" s="11" customFormat="1" ht="15.5" x14ac:dyDescent="0.7">
      <c r="A4" s="11" t="s">
        <v>59</v>
      </c>
      <c r="B4" s="34" t="s">
        <v>61</v>
      </c>
      <c r="C4" s="36"/>
      <c r="D4" s="36"/>
      <c r="E4" s="36"/>
      <c r="F4" s="36"/>
      <c r="G4" s="36"/>
      <c r="H4" s="36"/>
    </row>
    <row r="5" spans="1:126" s="5" customFormat="1" x14ac:dyDescent="0.6">
      <c r="A5" s="14"/>
      <c r="B5" s="37"/>
      <c r="C5" s="33"/>
      <c r="D5" s="33"/>
      <c r="E5" s="33"/>
      <c r="F5" s="33"/>
      <c r="G5" s="33"/>
      <c r="H5" s="33"/>
    </row>
    <row r="6" spans="1:126" s="5" customFormat="1" x14ac:dyDescent="0.6">
      <c r="B6" s="26"/>
      <c r="C6" s="33"/>
      <c r="D6" s="33"/>
      <c r="E6" s="33"/>
      <c r="F6" s="33"/>
      <c r="G6" s="33"/>
      <c r="H6" s="33"/>
    </row>
    <row r="7" spans="1:126" x14ac:dyDescent="0.6">
      <c r="B7" s="30" t="s">
        <v>53</v>
      </c>
      <c r="C7" s="30"/>
      <c r="D7" s="30"/>
      <c r="E7" s="30"/>
      <c r="F7" s="30"/>
      <c r="G7" s="30"/>
      <c r="I7" s="31" t="s">
        <v>45</v>
      </c>
      <c r="J7" s="31"/>
      <c r="K7" s="8"/>
      <c r="L7" s="31" t="s">
        <v>62</v>
      </c>
      <c r="M7" s="30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V7" s="8"/>
    </row>
    <row r="8" spans="1:126" x14ac:dyDescent="0.6">
      <c r="B8" s="30" t="s">
        <v>47</v>
      </c>
      <c r="C8" s="30"/>
      <c r="D8" s="30"/>
      <c r="E8" s="30"/>
      <c r="F8" s="30"/>
      <c r="G8" s="30"/>
      <c r="I8" s="31" t="s">
        <v>39</v>
      </c>
      <c r="J8" s="31"/>
      <c r="K8" s="8"/>
      <c r="L8" s="31" t="s">
        <v>44</v>
      </c>
      <c r="M8" s="3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V8" s="8"/>
    </row>
    <row r="9" spans="1:126" x14ac:dyDescent="0.6">
      <c r="B9" s="30"/>
      <c r="C9" s="30"/>
      <c r="D9" s="30"/>
      <c r="E9" s="30"/>
      <c r="F9" s="30"/>
      <c r="G9" s="30"/>
      <c r="I9" s="31" t="s">
        <v>36</v>
      </c>
      <c r="J9" s="31" t="s">
        <v>17</v>
      </c>
      <c r="K9" s="8"/>
      <c r="L9" s="30" t="s">
        <v>42</v>
      </c>
      <c r="M9" s="30" t="s">
        <v>43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V9" s="8"/>
    </row>
    <row r="10" spans="1:126" x14ac:dyDescent="0.6">
      <c r="A10" s="24" t="s">
        <v>22</v>
      </c>
      <c r="B10" s="30" t="s">
        <v>46</v>
      </c>
      <c r="C10" s="30" t="s">
        <v>48</v>
      </c>
      <c r="D10" s="30" t="s">
        <v>49</v>
      </c>
      <c r="E10" s="30" t="s">
        <v>50</v>
      </c>
      <c r="F10" s="30" t="s">
        <v>51</v>
      </c>
      <c r="G10" s="30" t="s">
        <v>52</v>
      </c>
      <c r="I10" s="31" t="s">
        <v>37</v>
      </c>
      <c r="J10" s="32" t="s">
        <v>38</v>
      </c>
      <c r="K10" s="8" t="s">
        <v>55</v>
      </c>
      <c r="L10" s="31" t="s">
        <v>40</v>
      </c>
      <c r="M10" s="31" t="s">
        <v>41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V10" s="8"/>
    </row>
    <row r="11" spans="1:126" ht="13.25" x14ac:dyDescent="0.65">
      <c r="A11" s="24">
        <v>1900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I11" s="27">
        <v>27.873609641933381</v>
      </c>
      <c r="J11" s="7">
        <v>4.5523165391109295</v>
      </c>
      <c r="K11" s="8"/>
      <c r="L11" s="27">
        <v>22.082097553821907</v>
      </c>
      <c r="M11" s="23">
        <v>3.6064470731947806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V11" s="8"/>
    </row>
    <row r="12" spans="1:126" ht="13.25" x14ac:dyDescent="0.65">
      <c r="A12" s="24">
        <v>1901</v>
      </c>
      <c r="B12" s="8">
        <v>1.0112018515590477</v>
      </c>
      <c r="C12" s="8">
        <v>1.0295582623764592</v>
      </c>
      <c r="D12" s="8">
        <v>1.0166616823456203</v>
      </c>
      <c r="E12" s="8">
        <v>1.0053993480907442</v>
      </c>
      <c r="F12" s="8">
        <v>0.98747367633078809</v>
      </c>
      <c r="G12" s="8">
        <v>1.0181530629014472</v>
      </c>
      <c r="I12" s="27">
        <v>28.197215724817422</v>
      </c>
      <c r="J12" s="7">
        <v>4.5768960807248416</v>
      </c>
      <c r="K12" s="8"/>
      <c r="L12" s="27">
        <v>21.940183996958012</v>
      </c>
      <c r="M12" s="23">
        <v>3.5612715498600607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V12" s="8"/>
    </row>
    <row r="13" spans="1:126" ht="13.25" x14ac:dyDescent="0.65">
      <c r="A13" s="24">
        <v>1902</v>
      </c>
      <c r="B13" s="8">
        <v>1.0224037031180957</v>
      </c>
      <c r="C13" s="8">
        <v>1.0591165247529182</v>
      </c>
      <c r="D13" s="8">
        <v>1.0329986414194712</v>
      </c>
      <c r="E13" s="8">
        <v>1.0103627737938188</v>
      </c>
      <c r="F13" s="8">
        <v>0.97533993406481856</v>
      </c>
      <c r="G13" s="8">
        <v>1.0359083418055479</v>
      </c>
      <c r="I13" s="27">
        <v>28.323031067829618</v>
      </c>
      <c r="J13" s="7">
        <v>4.5994911656435962</v>
      </c>
      <c r="K13" s="8"/>
      <c r="L13" s="27">
        <v>21.660351947092089</v>
      </c>
      <c r="M13" s="23">
        <v>3.5175118505780554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V13" s="8"/>
    </row>
    <row r="14" spans="1:126" ht="13.25" x14ac:dyDescent="0.65">
      <c r="A14" s="24">
        <v>1903</v>
      </c>
      <c r="B14" s="8">
        <v>1.0336055546771434</v>
      </c>
      <c r="C14" s="8">
        <v>1.0886747871293774</v>
      </c>
      <c r="D14" s="8">
        <v>1.0596603447885009</v>
      </c>
      <c r="E14" s="8">
        <v>1.0252076723015444</v>
      </c>
      <c r="F14" s="8">
        <v>0.97334884330573879</v>
      </c>
      <c r="G14" s="8">
        <v>1.0532787698392694</v>
      </c>
      <c r="H14"/>
      <c r="I14" s="27">
        <v>29.298074491888187</v>
      </c>
      <c r="J14" s="7">
        <v>4.6670698426417383</v>
      </c>
      <c r="L14" s="27">
        <v>22.036512233536843</v>
      </c>
      <c r="M14" s="23">
        <v>3.5103310871375069</v>
      </c>
    </row>
    <row r="15" spans="1:126" ht="13.25" x14ac:dyDescent="0.65">
      <c r="A15" s="24">
        <v>1904</v>
      </c>
      <c r="B15" s="8">
        <v>1.0448074062361914</v>
      </c>
      <c r="C15" s="8">
        <v>1.1182330495058364</v>
      </c>
      <c r="D15" s="8">
        <v>1.0742576087911395</v>
      </c>
      <c r="E15" s="8">
        <v>1.0281872069236562</v>
      </c>
      <c r="F15" s="8">
        <v>0.96067417186951287</v>
      </c>
      <c r="G15" s="8">
        <v>1.0702767254820229</v>
      </c>
      <c r="I15" s="27">
        <v>29.219166040138056</v>
      </c>
      <c r="J15" s="7">
        <v>4.680633627380832</v>
      </c>
      <c r="K15" s="8"/>
      <c r="L15" s="27">
        <v>21.628123740141756</v>
      </c>
      <c r="M15" s="23">
        <v>3.4646205554326244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V15" s="8"/>
    </row>
    <row r="16" spans="1:126" ht="13.25" x14ac:dyDescent="0.65">
      <c r="A16" s="24">
        <v>1905</v>
      </c>
      <c r="B16" s="8">
        <v>1.0560092577952391</v>
      </c>
      <c r="C16" s="8">
        <v>1.1477913118822956</v>
      </c>
      <c r="D16" s="8">
        <v>1.0992544516880267</v>
      </c>
      <c r="E16" s="8">
        <v>1.0409515291400719</v>
      </c>
      <c r="F16" s="8">
        <v>0.95771281792099305</v>
      </c>
      <c r="G16" s="8">
        <v>1.086914061983397</v>
      </c>
      <c r="I16" s="27">
        <v>29.894390741345958</v>
      </c>
      <c r="J16" s="7">
        <v>4.7387408625171625</v>
      </c>
      <c r="K16" s="8"/>
      <c r="L16" s="27">
        <v>21.789216284484962</v>
      </c>
      <c r="M16" s="23">
        <v>3.4539405891522912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V16" s="8"/>
    </row>
    <row r="17" spans="1:126" ht="13.25" x14ac:dyDescent="0.65">
      <c r="A17" s="24">
        <v>1906</v>
      </c>
      <c r="B17" s="8">
        <v>1.0672111093542871</v>
      </c>
      <c r="C17" s="8">
        <v>1.1773495742587547</v>
      </c>
      <c r="D17" s="8">
        <v>1.122765753594108</v>
      </c>
      <c r="E17" s="8">
        <v>1.05205590885709</v>
      </c>
      <c r="F17" s="8">
        <v>0.95363839096046532</v>
      </c>
      <c r="G17" s="8">
        <v>1.1032021349282117</v>
      </c>
      <c r="I17" s="27">
        <v>30.667607346356551</v>
      </c>
      <c r="J17" s="7">
        <v>4.7892915139595118</v>
      </c>
      <c r="K17" s="8"/>
      <c r="L17" s="27">
        <v>22.022768370520986</v>
      </c>
      <c r="M17" s="23">
        <v>3.4392463839655503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V17" s="8"/>
    </row>
    <row r="18" spans="1:126" ht="13.25" x14ac:dyDescent="0.65">
      <c r="A18" s="24">
        <v>1907</v>
      </c>
      <c r="B18" s="8">
        <v>1.0784129609133348</v>
      </c>
      <c r="C18" s="8">
        <v>1.2069078366352139</v>
      </c>
      <c r="D18" s="8">
        <v>1.1589371022603472</v>
      </c>
      <c r="E18" s="8">
        <v>1.0746691149546408</v>
      </c>
      <c r="F18" s="8">
        <v>0.96025319173615908</v>
      </c>
      <c r="G18" s="8">
        <v>1.1191518280836068</v>
      </c>
      <c r="H18"/>
      <c r="I18" s="27">
        <v>32.186914430866295</v>
      </c>
      <c r="J18" s="7">
        <v>4.8922339860797157</v>
      </c>
      <c r="L18" s="27">
        <v>22.784392187008201</v>
      </c>
      <c r="M18" s="23">
        <v>3.4631023128628176</v>
      </c>
    </row>
    <row r="19" spans="1:126" ht="13.25" x14ac:dyDescent="0.65">
      <c r="A19" s="24">
        <v>1908</v>
      </c>
      <c r="B19" s="8">
        <v>1.0896148124723828</v>
      </c>
      <c r="C19" s="8">
        <v>1.2364660990116729</v>
      </c>
      <c r="D19" s="8">
        <v>1.1590573869348051</v>
      </c>
      <c r="E19" s="8">
        <v>1.0637313054737703</v>
      </c>
      <c r="F19" s="8">
        <v>0.9373952006134727</v>
      </c>
      <c r="G19" s="8">
        <v>1.1347735776517929</v>
      </c>
      <c r="H19" s="7"/>
      <c r="I19" s="27">
        <v>31.192536491697716</v>
      </c>
      <c r="J19" s="7">
        <v>4.8424416150783047</v>
      </c>
      <c r="K19" s="7"/>
      <c r="L19" s="27">
        <v>21.776525458800883</v>
      </c>
      <c r="M19" s="23">
        <v>3.3806661776792928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</row>
    <row r="20" spans="1:126" ht="13.25" x14ac:dyDescent="0.65">
      <c r="A20" s="24">
        <v>1909</v>
      </c>
      <c r="B20" s="8">
        <v>1.1008166640314305</v>
      </c>
      <c r="C20" s="8">
        <v>1.2660243613881321</v>
      </c>
      <c r="D20" s="8">
        <v>1.1830110980703137</v>
      </c>
      <c r="E20" s="8">
        <v>1.0746667785150243</v>
      </c>
      <c r="F20" s="8">
        <v>0.93442996371191578</v>
      </c>
      <c r="G20" s="8">
        <v>1.1500773950420362</v>
      </c>
      <c r="H20" s="7"/>
      <c r="I20" s="27">
        <v>31.737845085757726</v>
      </c>
      <c r="J20" s="7">
        <v>4.8922233498670078</v>
      </c>
      <c r="K20" s="7"/>
      <c r="L20" s="27">
        <v>21.862382034395274</v>
      </c>
      <c r="M20" s="23">
        <v>3.3699722077343437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</row>
    <row r="21" spans="1:126" ht="13.25" x14ac:dyDescent="0.65">
      <c r="A21" s="24">
        <v>1910</v>
      </c>
      <c r="B21" s="8">
        <v>1.1120185155904785</v>
      </c>
      <c r="C21" s="8">
        <v>1.2955826237645913</v>
      </c>
      <c r="D21" s="8">
        <v>1.2072842735640983</v>
      </c>
      <c r="E21" s="8">
        <v>1.0856692192063313</v>
      </c>
      <c r="F21" s="8">
        <v>0.93184660817391685</v>
      </c>
      <c r="G21" s="8">
        <v>1.1650728882662902</v>
      </c>
      <c r="H21" s="7"/>
      <c r="I21" s="27">
        <v>32.326131058339833</v>
      </c>
      <c r="J21" s="7">
        <v>4.9423099425966308</v>
      </c>
      <c r="K21" s="7"/>
      <c r="L21" s="27">
        <v>21.981015054641716</v>
      </c>
      <c r="M21" s="23">
        <v>3.360655472715306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</row>
    <row r="22" spans="1:126" ht="13.25" x14ac:dyDescent="0.65">
      <c r="A22" s="24">
        <v>1911</v>
      </c>
      <c r="B22" s="8">
        <v>1.1232203671495262</v>
      </c>
      <c r="C22" s="8">
        <v>1.3251408861410505</v>
      </c>
      <c r="D22" s="8">
        <v>1.2250117427614555</v>
      </c>
      <c r="E22" s="8">
        <v>1.0906245814169595</v>
      </c>
      <c r="F22" s="8">
        <v>0.9244388695369733</v>
      </c>
      <c r="G22" s="8">
        <v>1.1797692820545551</v>
      </c>
      <c r="H22" s="7"/>
      <c r="I22" s="27">
        <v>32.313013586575245</v>
      </c>
      <c r="J22" s="7">
        <v>4.9648683199453592</v>
      </c>
      <c r="K22" s="7"/>
      <c r="L22" s="27">
        <v>21.69838894039361</v>
      </c>
      <c r="M22" s="23">
        <v>3.3339398553891089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</row>
    <row r="23" spans="1:126" ht="13.25" x14ac:dyDescent="0.65">
      <c r="A23" s="24">
        <v>1912</v>
      </c>
      <c r="B23" s="8">
        <v>1.1344222187085742</v>
      </c>
      <c r="C23" s="8">
        <v>1.3546991485175095</v>
      </c>
      <c r="D23" s="8">
        <v>1.2551927482042016</v>
      </c>
      <c r="E23" s="8">
        <v>1.1064599471906611</v>
      </c>
      <c r="F23" s="8">
        <v>0.9265472334413134</v>
      </c>
      <c r="G23" s="8">
        <v>1.1941754367784676</v>
      </c>
      <c r="H23"/>
      <c r="I23" s="27">
        <v>32.885170709099583</v>
      </c>
      <c r="J23" s="7">
        <v>5.0369559174598519</v>
      </c>
      <c r="L23" s="27">
        <v>21.816198542275668</v>
      </c>
      <c r="M23" s="23">
        <v>3.3415435582211459</v>
      </c>
    </row>
    <row r="24" spans="1:126" ht="13.25" x14ac:dyDescent="0.65">
      <c r="A24" s="24">
        <v>1913</v>
      </c>
      <c r="B24" s="8">
        <v>1.1456240702676221</v>
      </c>
      <c r="C24" s="8">
        <v>1.3842574108939685</v>
      </c>
      <c r="D24" s="8">
        <v>1.2897081617885042</v>
      </c>
      <c r="E24" s="8">
        <v>1.1257690853922293</v>
      </c>
      <c r="F24" s="8">
        <v>0.93169677231895531</v>
      </c>
      <c r="G24" s="8">
        <v>1.208299866264682</v>
      </c>
      <c r="H24"/>
      <c r="I24" s="27">
        <v>33.963712547201901</v>
      </c>
      <c r="J24" s="7">
        <v>5.1248572266508301</v>
      </c>
      <c r="L24" s="27">
        <v>22.268324414602137</v>
      </c>
      <c r="M24" s="23">
        <v>3.3601150976347203</v>
      </c>
    </row>
    <row r="25" spans="1:126" ht="13.25" x14ac:dyDescent="0.65">
      <c r="A25" s="24">
        <v>1914</v>
      </c>
      <c r="B25" s="8">
        <v>1.1583142603899532</v>
      </c>
      <c r="C25" s="8">
        <v>1.4199115036139298</v>
      </c>
      <c r="D25" s="8">
        <v>1.2633517111968262</v>
      </c>
      <c r="E25" s="8">
        <v>1.0906813067910528</v>
      </c>
      <c r="F25" s="8">
        <v>0.88973975348560042</v>
      </c>
      <c r="G25" s="8">
        <v>1.2258430653663095</v>
      </c>
      <c r="H25"/>
      <c r="I25" s="27">
        <v>31.668246852986432</v>
      </c>
      <c r="J25" s="7">
        <v>4.9651265518040315</v>
      </c>
      <c r="L25" s="27">
        <v>20.466154934738434</v>
      </c>
      <c r="M25" s="23">
        <v>3.2087993298631892</v>
      </c>
    </row>
    <row r="26" spans="1:126" ht="13.25" x14ac:dyDescent="0.65">
      <c r="A26" s="24">
        <v>1915</v>
      </c>
      <c r="B26" s="8">
        <v>1.1710044505122843</v>
      </c>
      <c r="C26" s="8">
        <v>1.4555655963338909</v>
      </c>
      <c r="D26" s="8">
        <v>1.2706262529233752</v>
      </c>
      <c r="E26" s="8">
        <v>1.0850738034065615</v>
      </c>
      <c r="F26" s="8">
        <v>0.87294331229295352</v>
      </c>
      <c r="G26" s="8">
        <v>1.2430060327244004</v>
      </c>
      <c r="H26"/>
      <c r="I26" s="27">
        <v>31.125913344816212</v>
      </c>
      <c r="J26" s="7">
        <v>4.9395994214036909</v>
      </c>
      <c r="L26" s="27">
        <v>19.837912854885204</v>
      </c>
      <c r="M26" s="23">
        <v>3.1482238536838798</v>
      </c>
    </row>
    <row r="27" spans="1:126" ht="13.25" x14ac:dyDescent="0.65">
      <c r="A27" s="24">
        <v>1916</v>
      </c>
      <c r="B27" s="8">
        <v>1.1836946406346154</v>
      </c>
      <c r="C27" s="8">
        <v>1.4912196890538523</v>
      </c>
      <c r="D27" s="8">
        <v>1.3045767294905506</v>
      </c>
      <c r="E27" s="8">
        <v>1.1021226967718012</v>
      </c>
      <c r="F27" s="8">
        <v>0.8748387236747639</v>
      </c>
      <c r="G27" s="8">
        <v>1.2598009975396722</v>
      </c>
      <c r="H27"/>
      <c r="I27" s="27">
        <v>32.174934703239622</v>
      </c>
      <c r="J27" s="7">
        <v>5.0172113806438103</v>
      </c>
      <c r="L27" s="27">
        <v>20.23311904755823</v>
      </c>
      <c r="M27" s="23">
        <v>3.1550595545143096</v>
      </c>
    </row>
    <row r="28" spans="1:126" ht="13.25" x14ac:dyDescent="0.65">
      <c r="A28" s="24">
        <v>1917</v>
      </c>
      <c r="B28" s="8">
        <v>1.1963848307569465</v>
      </c>
      <c r="C28" s="8">
        <v>1.5268737817738138</v>
      </c>
      <c r="D28" s="8">
        <v>1.3265959888022556</v>
      </c>
      <c r="E28" s="8">
        <v>1.1088371857430899</v>
      </c>
      <c r="F28" s="8">
        <v>0.8688314676941471</v>
      </c>
      <c r="G28" s="8">
        <v>1.2762396701467442</v>
      </c>
      <c r="H28"/>
      <c r="I28" s="27">
        <v>32.710871623543277</v>
      </c>
      <c r="J28" s="7">
        <v>5.0477778598394858</v>
      </c>
      <c r="L28" s="27">
        <v>20.305186707247316</v>
      </c>
      <c r="M28" s="23">
        <v>3.1333947037650822</v>
      </c>
    </row>
    <row r="29" spans="1:126" ht="13.25" x14ac:dyDescent="0.65">
      <c r="A29" s="24">
        <v>1918</v>
      </c>
      <c r="B29" s="8">
        <v>1.2090750208792773</v>
      </c>
      <c r="C29" s="8">
        <v>1.5625278744937749</v>
      </c>
      <c r="D29" s="8">
        <v>1.3285132187259878</v>
      </c>
      <c r="E29" s="8">
        <v>1.0987847699970272</v>
      </c>
      <c r="F29" s="8">
        <v>0.85023329209816312</v>
      </c>
      <c r="G29" s="8">
        <v>1.29233326924367</v>
      </c>
      <c r="H29"/>
      <c r="I29" s="27">
        <v>31.966028018960927</v>
      </c>
      <c r="J29" s="7">
        <v>5.002016081380666</v>
      </c>
      <c r="L29" s="27">
        <v>19.595721637868753</v>
      </c>
      <c r="M29" s="23">
        <v>3.0663213678201835</v>
      </c>
    </row>
    <row r="30" spans="1:126" ht="13.25" x14ac:dyDescent="0.65">
      <c r="A30" s="24">
        <v>1919</v>
      </c>
      <c r="B30" s="8">
        <v>1.2217652110016084</v>
      </c>
      <c r="C30" s="8">
        <v>1.5981819672137363</v>
      </c>
      <c r="D30" s="8">
        <v>1.298576468333805</v>
      </c>
      <c r="E30" s="8">
        <v>1.0628690820793842</v>
      </c>
      <c r="F30" s="8">
        <v>0.81253355060546562</v>
      </c>
      <c r="G30" s="8">
        <v>1.3080925474245086</v>
      </c>
      <c r="H30"/>
      <c r="I30" s="27">
        <v>29.667231540778555</v>
      </c>
      <c r="J30" s="7">
        <v>4.8385165012596332</v>
      </c>
      <c r="L30" s="27">
        <v>17.967417535912514</v>
      </c>
      <c r="M30" s="23">
        <v>2.9303592454536447</v>
      </c>
    </row>
    <row r="31" spans="1:126" ht="13.25" x14ac:dyDescent="0.65">
      <c r="A31" s="24">
        <v>1920</v>
      </c>
      <c r="B31" s="8">
        <v>1.2344554011239395</v>
      </c>
      <c r="C31" s="8">
        <v>1.6338360599336976</v>
      </c>
      <c r="D31" s="8">
        <v>1.3521479487051133</v>
      </c>
      <c r="E31" s="8">
        <v>1.0953396513750255</v>
      </c>
      <c r="F31" s="8">
        <v>0.82759095717350273</v>
      </c>
      <c r="G31" s="8">
        <v>1.3235278151370495</v>
      </c>
      <c r="H31"/>
      <c r="I31" s="27">
        <v>31.482769319924472</v>
      </c>
      <c r="J31" s="7">
        <v>4.9863328108985288</v>
      </c>
      <c r="L31" s="27">
        <v>18.844601800057397</v>
      </c>
      <c r="M31" s="23">
        <v>2.9846629853008459</v>
      </c>
    </row>
    <row r="32" spans="1:126" ht="13.25" x14ac:dyDescent="0.65">
      <c r="A32" s="24">
        <v>1921</v>
      </c>
      <c r="B32" s="8">
        <v>1.2471455912462706</v>
      </c>
      <c r="C32" s="8">
        <v>1.6694901526536587</v>
      </c>
      <c r="D32" s="8">
        <v>1.3130118940562114</v>
      </c>
      <c r="E32" s="8">
        <v>1.0528136436293063</v>
      </c>
      <c r="F32" s="8">
        <v>0.78647477612801475</v>
      </c>
      <c r="G32" s="8">
        <v>1.3386489631778598</v>
      </c>
      <c r="H32"/>
      <c r="I32" s="27">
        <v>28.672316162332002</v>
      </c>
      <c r="J32" s="7">
        <v>4.7927409624953308</v>
      </c>
      <c r="L32" s="27">
        <v>16.968489398210423</v>
      </c>
      <c r="M32" s="23">
        <v>2.836379654508399</v>
      </c>
    </row>
    <row r="33" spans="1:13" ht="13.25" x14ac:dyDescent="0.65">
      <c r="A33" s="24">
        <v>1922</v>
      </c>
      <c r="B33" s="8">
        <v>1.2598357813686016</v>
      </c>
      <c r="C33" s="8">
        <v>1.7051442453736201</v>
      </c>
      <c r="D33" s="8">
        <v>1.3632079101988133</v>
      </c>
      <c r="E33" s="8">
        <v>1.0820520661176294</v>
      </c>
      <c r="F33" s="8">
        <v>0.79946779511320243</v>
      </c>
      <c r="G33" s="8">
        <v>1.3534654838277933</v>
      </c>
      <c r="H33"/>
      <c r="I33" s="27">
        <v>29.562421545169467</v>
      </c>
      <c r="J33" s="7">
        <v>4.9258435167664372</v>
      </c>
      <c r="L33" s="27">
        <v>17.303738019306554</v>
      </c>
      <c r="M33" s="23">
        <v>2.8832382897994933</v>
      </c>
    </row>
    <row r="34" spans="1:13" ht="13.25" x14ac:dyDescent="0.65">
      <c r="A34" s="24">
        <v>1923</v>
      </c>
      <c r="B34" s="8">
        <v>1.2725259714909327</v>
      </c>
      <c r="C34" s="8">
        <v>1.7407983380935812</v>
      </c>
      <c r="D34" s="8">
        <v>1.4179740440425166</v>
      </c>
      <c r="E34" s="8">
        <v>1.1142987065176926</v>
      </c>
      <c r="F34" s="8">
        <v>0.8145538819823307</v>
      </c>
      <c r="G34" s="8">
        <v>1.3679864907228616</v>
      </c>
      <c r="H34"/>
      <c r="I34" s="27">
        <v>31.921946644850678</v>
      </c>
      <c r="J34" s="7">
        <v>5.0726404311904076</v>
      </c>
      <c r="L34" s="27">
        <v>18.486498900066056</v>
      </c>
      <c r="M34" s="23">
        <v>2.9376454636346234</v>
      </c>
    </row>
    <row r="35" spans="1:13" ht="13.25" x14ac:dyDescent="0.65">
      <c r="A35" s="24">
        <v>1924</v>
      </c>
      <c r="B35" s="8">
        <v>1.2852161616132636</v>
      </c>
      <c r="C35" s="8">
        <v>1.7764524308135425</v>
      </c>
      <c r="D35" s="8">
        <v>1.4408172460425039</v>
      </c>
      <c r="E35" s="8">
        <v>1.1210699717889654</v>
      </c>
      <c r="F35" s="8">
        <v>0.81106435559474488</v>
      </c>
      <c r="G35" s="8">
        <v>1.3822207375478814</v>
      </c>
      <c r="H35"/>
      <c r="I35" s="27">
        <v>31.477040814237824</v>
      </c>
      <c r="J35" s="7">
        <v>5.1034653740755305</v>
      </c>
      <c r="L35" s="27">
        <v>18.041124488806251</v>
      </c>
      <c r="M35" s="23">
        <v>2.9250606714072784</v>
      </c>
    </row>
    <row r="36" spans="1:13" ht="13.25" x14ac:dyDescent="0.65">
      <c r="A36" s="24">
        <v>1925</v>
      </c>
      <c r="B36" s="8">
        <v>1.2979063517355947</v>
      </c>
      <c r="C36" s="8">
        <v>1.8121065235335039</v>
      </c>
      <c r="D36" s="8">
        <v>1.4712937055156936</v>
      </c>
      <c r="E36" s="8">
        <v>1.13359003409471</v>
      </c>
      <c r="F36" s="8">
        <v>0.81192451238835284</v>
      </c>
      <c r="G36" s="8">
        <v>1.3961766356334624</v>
      </c>
      <c r="H36"/>
      <c r="I36" s="27">
        <v>31.483497811936928</v>
      </c>
      <c r="J36" s="7">
        <v>5.1604606607806707</v>
      </c>
      <c r="L36" s="27">
        <v>17.864452919971651</v>
      </c>
      <c r="M36" s="23">
        <v>2.9281627813580746</v>
      </c>
    </row>
    <row r="37" spans="1:13" ht="13.25" x14ac:dyDescent="0.65">
      <c r="A37" s="24">
        <v>1926</v>
      </c>
      <c r="B37" s="8">
        <v>1.3105965418579257</v>
      </c>
      <c r="C37" s="8">
        <v>1.847760616253465</v>
      </c>
      <c r="D37" s="8">
        <v>1.4901193499050649</v>
      </c>
      <c r="E37" s="8">
        <v>1.1369779350956046</v>
      </c>
      <c r="F37" s="8">
        <v>0.80644610389328653</v>
      </c>
      <c r="G37" s="8">
        <v>1.4098622705306743</v>
      </c>
      <c r="H37"/>
      <c r="I37" s="27">
        <v>31.307040428852268</v>
      </c>
      <c r="J37" s="7">
        <v>5.1758834585399143</v>
      </c>
      <c r="L37" s="27">
        <v>17.591887381128007</v>
      </c>
      <c r="M37" s="23">
        <v>2.9084051910752771</v>
      </c>
    </row>
    <row r="38" spans="1:13" ht="13.25" x14ac:dyDescent="0.65">
      <c r="A38" s="24">
        <v>1927</v>
      </c>
      <c r="B38" s="8">
        <v>1.3232867319802566</v>
      </c>
      <c r="C38" s="8">
        <v>1.8834147089734263</v>
      </c>
      <c r="D38" s="8">
        <v>1.5283793092468803</v>
      </c>
      <c r="E38" s="8">
        <v>1.1549872543191821</v>
      </c>
      <c r="F38" s="8">
        <v>0.81149377349821072</v>
      </c>
      <c r="G38" s="8">
        <v>1.4232854176320169</v>
      </c>
      <c r="H38"/>
      <c r="I38" s="27">
        <v>32.797475370050385</v>
      </c>
      <c r="J38" s="7">
        <v>5.2578675802995338</v>
      </c>
      <c r="L38" s="27">
        <v>18.255575368362191</v>
      </c>
      <c r="M38" s="23">
        <v>2.9266093443484102</v>
      </c>
    </row>
    <row r="39" spans="1:13" ht="13.25" x14ac:dyDescent="0.65">
      <c r="A39" s="24">
        <v>1928</v>
      </c>
      <c r="B39" s="8">
        <v>1.3359769221025877</v>
      </c>
      <c r="C39" s="8">
        <v>1.9190688016933877</v>
      </c>
      <c r="D39" s="8">
        <v>1.5735297565551682</v>
      </c>
      <c r="E39" s="8">
        <v>1.1778120793274744</v>
      </c>
      <c r="F39" s="8">
        <v>0.81994442052660355</v>
      </c>
      <c r="G39" s="8">
        <v>1.4364535569021046</v>
      </c>
      <c r="H39"/>
      <c r="I39" s="27">
        <v>32.531343669288084</v>
      </c>
      <c r="J39" s="7">
        <v>5.3617734086870961</v>
      </c>
      <c r="L39" s="27">
        <v>17.941449340502025</v>
      </c>
      <c r="M39" s="23">
        <v>2.9570861555905599</v>
      </c>
    </row>
    <row r="40" spans="1:13" ht="13.25" x14ac:dyDescent="0.65">
      <c r="A40" s="24">
        <v>1929</v>
      </c>
      <c r="B40" s="8">
        <v>1.3486671122249188</v>
      </c>
      <c r="C40" s="8">
        <v>1.9547228944133488</v>
      </c>
      <c r="D40" s="8">
        <v>1.5963088594695085</v>
      </c>
      <c r="E40" s="8">
        <v>1.1836196234043632</v>
      </c>
      <c r="F40" s="8">
        <v>0.81664202329230529</v>
      </c>
      <c r="G40" s="8">
        <v>1.4493738867767081</v>
      </c>
      <c r="H40"/>
      <c r="I40" s="27">
        <v>33.86586507275446</v>
      </c>
      <c r="J40" s="7">
        <v>5.3882111876399321</v>
      </c>
      <c r="L40" s="27">
        <v>18.510956142613093</v>
      </c>
      <c r="M40" s="23">
        <v>2.9451762347503982</v>
      </c>
    </row>
    <row r="41" spans="1:13" ht="13.25" x14ac:dyDescent="0.65">
      <c r="A41" s="24">
        <v>1930</v>
      </c>
      <c r="B41" s="8">
        <v>1.3613573023472501</v>
      </c>
      <c r="C41" s="8">
        <v>1.9903769871333101</v>
      </c>
      <c r="D41" s="8">
        <v>1.5736438971354096</v>
      </c>
      <c r="E41" s="8">
        <v>1.1559374562593783</v>
      </c>
      <c r="F41" s="8">
        <v>0.79062605089797044</v>
      </c>
      <c r="G41" s="8">
        <v>1.4620533372844189</v>
      </c>
      <c r="H41"/>
      <c r="I41" s="27">
        <v>31.954340479204127</v>
      </c>
      <c r="J41" s="7">
        <v>5.2621932003073848</v>
      </c>
      <c r="L41" s="27">
        <v>17.314651409254001</v>
      </c>
      <c r="M41" s="23">
        <v>2.851351007252533</v>
      </c>
    </row>
    <row r="42" spans="1:13" ht="13.25" x14ac:dyDescent="0.65">
      <c r="A42" s="24">
        <v>1931</v>
      </c>
      <c r="B42" s="8">
        <v>1.3740474924695809</v>
      </c>
      <c r="C42" s="8">
        <v>2.0260310798532717</v>
      </c>
      <c r="D42" s="8">
        <v>1.5265135622927539</v>
      </c>
      <c r="E42" s="8">
        <v>1.1109612809300682</v>
      </c>
      <c r="F42" s="8">
        <v>0.75345021972876469</v>
      </c>
      <c r="G42" s="8">
        <v>1.4744985824411923</v>
      </c>
      <c r="H42"/>
      <c r="I42" s="27">
        <v>29.681555631160471</v>
      </c>
      <c r="J42" s="7">
        <v>5.0574474134898129</v>
      </c>
      <c r="L42" s="27">
        <v>15.947382466335959</v>
      </c>
      <c r="M42" s="23">
        <v>2.7172783397387676</v>
      </c>
    </row>
    <row r="43" spans="1:13" ht="13.25" x14ac:dyDescent="0.65">
      <c r="A43" s="24">
        <v>1932</v>
      </c>
      <c r="B43" s="8">
        <v>1.386737682591912</v>
      </c>
      <c r="C43" s="8">
        <v>2.0616851725732328</v>
      </c>
      <c r="D43" s="8">
        <v>1.4800884891556514</v>
      </c>
      <c r="E43" s="8">
        <v>1.0673168456699467</v>
      </c>
      <c r="F43" s="8">
        <v>0.71790228151484525</v>
      </c>
      <c r="G43" s="8">
        <v>1.4867160519643452</v>
      </c>
      <c r="H43"/>
      <c r="I43" s="27">
        <v>27.755647239695307</v>
      </c>
      <c r="J43" s="7">
        <v>4.8587641290150057</v>
      </c>
      <c r="L43" s="27">
        <v>14.790077142799671</v>
      </c>
      <c r="M43" s="23">
        <v>2.5890765820090693</v>
      </c>
    </row>
    <row r="44" spans="1:13" ht="13.25" x14ac:dyDescent="0.65">
      <c r="A44" s="24">
        <v>1933</v>
      </c>
      <c r="B44" s="8">
        <v>1.3994278727142431</v>
      </c>
      <c r="C44" s="8">
        <v>2.0973392652931939</v>
      </c>
      <c r="D44" s="8">
        <v>1.5045403832278876</v>
      </c>
      <c r="E44" s="8">
        <v>1.0751110597145497</v>
      </c>
      <c r="F44" s="8">
        <v>0.71735670433727505</v>
      </c>
      <c r="G44" s="8">
        <v>1.4987119423492159</v>
      </c>
      <c r="H44"/>
      <c r="I44" s="27">
        <v>28.464767465709336</v>
      </c>
      <c r="J44" s="7">
        <v>4.8942458585196222</v>
      </c>
      <c r="L44" s="27">
        <v>15.046537882714278</v>
      </c>
      <c r="M44" s="23">
        <v>2.5871089867938193</v>
      </c>
    </row>
    <row r="45" spans="1:13" ht="13.25" x14ac:dyDescent="0.65">
      <c r="A45" s="24">
        <v>1934</v>
      </c>
      <c r="B45" s="8">
        <v>1.4121180628365739</v>
      </c>
      <c r="C45" s="8">
        <v>2.1329933580131555</v>
      </c>
      <c r="D45" s="8">
        <v>1.5557546011269288</v>
      </c>
      <c r="E45" s="8">
        <v>1.1017170887268637</v>
      </c>
      <c r="F45" s="8">
        <v>0.72937620517303714</v>
      </c>
      <c r="G45" s="8">
        <v>1.5104922273485639</v>
      </c>
      <c r="H45"/>
      <c r="I45" s="27">
        <v>29.714959797465553</v>
      </c>
      <c r="J45" s="7">
        <v>5.0153649244324452</v>
      </c>
      <c r="L45" s="27">
        <v>15.584890767650618</v>
      </c>
      <c r="M45" s="23">
        <v>2.6304566804042158</v>
      </c>
    </row>
    <row r="46" spans="1:13" ht="13.25" x14ac:dyDescent="0.65">
      <c r="A46" s="24">
        <v>1935</v>
      </c>
      <c r="B46" s="8">
        <v>1.424808252958905</v>
      </c>
      <c r="C46" s="8">
        <v>2.1686474507331166</v>
      </c>
      <c r="D46" s="8">
        <v>1.5932400104431206</v>
      </c>
      <c r="E46" s="8">
        <v>1.1182136312970061</v>
      </c>
      <c r="F46" s="8">
        <v>0.73466990215699746</v>
      </c>
      <c r="G46" s="8">
        <v>1.522062667891962</v>
      </c>
      <c r="H46"/>
      <c r="I46" s="27">
        <v>30.512975787141592</v>
      </c>
      <c r="J46" s="7">
        <v>5.0904624080126517</v>
      </c>
      <c r="L46" s="27">
        <v>15.881778727272744</v>
      </c>
      <c r="M46" s="23">
        <v>2.6495481183983993</v>
      </c>
    </row>
    <row r="47" spans="1:13" ht="13.25" x14ac:dyDescent="0.65">
      <c r="A47" s="24">
        <v>1936</v>
      </c>
      <c r="B47" s="8">
        <v>1.4374984430812361</v>
      </c>
      <c r="C47" s="8">
        <v>2.2043015434530777</v>
      </c>
      <c r="D47" s="8">
        <v>1.6367682524327578</v>
      </c>
      <c r="E47" s="8">
        <v>1.1386226262091752</v>
      </c>
      <c r="F47" s="8">
        <v>0.7425337324169955</v>
      </c>
      <c r="G47" s="8">
        <v>1.5334288214797795</v>
      </c>
      <c r="H47"/>
      <c r="I47" s="27">
        <v>32.167117646537541</v>
      </c>
      <c r="J47" s="7">
        <v>5.1833706130979502</v>
      </c>
      <c r="L47" s="27">
        <v>16.618645975066595</v>
      </c>
      <c r="M47" s="23">
        <v>2.6779086060236699</v>
      </c>
    </row>
    <row r="48" spans="1:13" ht="13.25" x14ac:dyDescent="0.65">
      <c r="A48" s="24">
        <v>1937</v>
      </c>
      <c r="B48" s="8">
        <v>1.4501886332035672</v>
      </c>
      <c r="C48" s="8">
        <v>2.2399556361730393</v>
      </c>
      <c r="D48" s="8">
        <v>1.7035139914052182</v>
      </c>
      <c r="E48" s="8">
        <v>1.1746844185656302</v>
      </c>
      <c r="F48" s="8">
        <v>0.76051237975215846</v>
      </c>
      <c r="G48" s="8">
        <v>1.5445960510839354</v>
      </c>
      <c r="H48"/>
      <c r="I48" s="27">
        <v>33.387626290065796</v>
      </c>
      <c r="J48" s="7">
        <v>5.3475353068722242</v>
      </c>
      <c r="L48" s="27">
        <v>17.12449346482655</v>
      </c>
      <c r="M48" s="23">
        <v>2.7427476460855695</v>
      </c>
    </row>
    <row r="49" spans="1:13" ht="13.25" x14ac:dyDescent="0.65">
      <c r="A49" s="24">
        <v>1938</v>
      </c>
      <c r="B49" s="8">
        <v>1.462878823325898</v>
      </c>
      <c r="C49" s="8">
        <v>2.2756097288930004</v>
      </c>
      <c r="D49" s="8">
        <v>1.6746864883158465</v>
      </c>
      <c r="E49" s="8">
        <v>1.1447882501357136</v>
      </c>
      <c r="F49" s="8">
        <v>0.73592869069448008</v>
      </c>
      <c r="G49" s="8">
        <v>1.5555695335853825</v>
      </c>
      <c r="H49"/>
      <c r="I49" s="27">
        <v>32.079191845160203</v>
      </c>
      <c r="J49" s="7">
        <v>5.2114384848726685</v>
      </c>
      <c r="L49" s="27">
        <v>16.337330717289881</v>
      </c>
      <c r="M49" s="23">
        <v>2.6540878726351749</v>
      </c>
    </row>
    <row r="50" spans="1:13" ht="13.25" x14ac:dyDescent="0.65">
      <c r="A50" s="24">
        <v>1939</v>
      </c>
      <c r="B50" s="8">
        <v>1.4755690134482293</v>
      </c>
      <c r="C50" s="8">
        <v>2.3112638216129615</v>
      </c>
      <c r="D50" s="8">
        <v>1.7287550681581991</v>
      </c>
      <c r="E50" s="8">
        <v>1.171585369713277</v>
      </c>
      <c r="F50" s="8">
        <v>0.74796959654383066</v>
      </c>
      <c r="G50" s="8">
        <v>1.5663542677762072</v>
      </c>
      <c r="H50"/>
      <c r="I50" s="27">
        <v>32.881279220428141</v>
      </c>
      <c r="J50" s="7">
        <v>5.3334274555261443</v>
      </c>
      <c r="L50" s="27">
        <v>16.630519694377895</v>
      </c>
      <c r="M50" s="23">
        <v>2.697512762294179</v>
      </c>
    </row>
    <row r="51" spans="1:13" ht="13.25" x14ac:dyDescent="0.65">
      <c r="A51" s="24">
        <v>1940</v>
      </c>
      <c r="B51" s="8">
        <v>1.4882592035705602</v>
      </c>
      <c r="C51" s="8">
        <v>2.3469179143329231</v>
      </c>
      <c r="D51" s="8">
        <v>1.764503473958452</v>
      </c>
      <c r="E51" s="8">
        <v>1.1856156976722467</v>
      </c>
      <c r="F51" s="8">
        <v>0.75183859784034501</v>
      </c>
      <c r="G51" s="8">
        <v>1.5769550819523308</v>
      </c>
      <c r="H51"/>
      <c r="I51" s="27">
        <v>34.435598109243784</v>
      </c>
      <c r="J51" s="7">
        <v>5.3972979495429119</v>
      </c>
      <c r="L51" s="27">
        <v>17.299574369926233</v>
      </c>
      <c r="M51" s="23">
        <v>2.7114661106961799</v>
      </c>
    </row>
    <row r="52" spans="1:13" ht="13.25" x14ac:dyDescent="0.65">
      <c r="A52" s="24">
        <v>1941</v>
      </c>
      <c r="B52" s="8">
        <v>1.500949393692891</v>
      </c>
      <c r="C52" s="8">
        <v>2.3825720070528842</v>
      </c>
      <c r="D52" s="8">
        <v>1.7971941590570548</v>
      </c>
      <c r="E52" s="8">
        <v>1.1973715880155638</v>
      </c>
      <c r="F52" s="8">
        <v>0.75430843380053358</v>
      </c>
      <c r="G52" s="8">
        <v>1.5873766411210408</v>
      </c>
      <c r="H52"/>
      <c r="I52" s="27">
        <v>35.116286785466947</v>
      </c>
      <c r="J52" s="7">
        <v>5.4508144835847689</v>
      </c>
      <c r="L52" s="27">
        <v>17.525713687101234</v>
      </c>
      <c r="M52" s="23">
        <v>2.7203734433660731</v>
      </c>
    </row>
    <row r="53" spans="1:13" ht="13.25" x14ac:dyDescent="0.65">
      <c r="A53" s="24">
        <v>1942</v>
      </c>
      <c r="B53" s="8">
        <v>1.5136395838152223</v>
      </c>
      <c r="C53" s="8">
        <v>2.4182260997728453</v>
      </c>
      <c r="D53" s="8">
        <v>1.8010039603926435</v>
      </c>
      <c r="E53" s="8">
        <v>1.1898499349845895</v>
      </c>
      <c r="F53" s="8">
        <v>0.7447624358044187</v>
      </c>
      <c r="G53" s="8">
        <v>1.5976234538459657</v>
      </c>
      <c r="H53"/>
      <c r="I53" s="27">
        <v>35.148389549828053</v>
      </c>
      <c r="J53" s="7">
        <v>5.416573538090411</v>
      </c>
      <c r="L53" s="27">
        <v>17.429226509817674</v>
      </c>
      <c r="M53" s="23">
        <v>2.6859463068322613</v>
      </c>
    </row>
    <row r="54" spans="1:13" ht="13.25" x14ac:dyDescent="0.65">
      <c r="A54" s="24">
        <v>1943</v>
      </c>
      <c r="B54" s="8">
        <v>1.5263297739375532</v>
      </c>
      <c r="C54" s="8">
        <v>2.4538801924928069</v>
      </c>
      <c r="D54" s="8">
        <v>1.813586517429771</v>
      </c>
      <c r="E54" s="8">
        <v>1.1882009696706408</v>
      </c>
      <c r="F54" s="8">
        <v>0.73906889300386525</v>
      </c>
      <c r="G54" s="8">
        <v>1.6076998787505818</v>
      </c>
      <c r="H54"/>
      <c r="I54" s="27">
        <v>35.861127380940758</v>
      </c>
      <c r="J54" s="7">
        <v>5.4090669260193023</v>
      </c>
      <c r="L54" s="27">
        <v>17.671201133724605</v>
      </c>
      <c r="M54" s="23">
        <v>2.6654128460630964</v>
      </c>
    </row>
    <row r="55" spans="1:13" ht="13.25" x14ac:dyDescent="0.65">
      <c r="A55" s="24">
        <v>1944</v>
      </c>
      <c r="B55" s="8">
        <v>1.5390199640598845</v>
      </c>
      <c r="C55" s="8">
        <v>2.489534285212768</v>
      </c>
      <c r="D55" s="8">
        <v>1.7933973475911531</v>
      </c>
      <c r="E55" s="8">
        <v>1.1652853045910003</v>
      </c>
      <c r="F55" s="8">
        <v>0.72037463321694328</v>
      </c>
      <c r="G55" s="8">
        <v>1.6176101306999671</v>
      </c>
      <c r="H55"/>
      <c r="I55" s="27">
        <v>35.96474887254972</v>
      </c>
      <c r="J55" s="7">
        <v>5.3047475648725282</v>
      </c>
      <c r="L55" s="27">
        <v>17.613687405087642</v>
      </c>
      <c r="M55" s="23">
        <v>2.5979929875690089</v>
      </c>
    </row>
    <row r="56" spans="1:13" ht="13.25" x14ac:dyDescent="0.65">
      <c r="A56" s="24">
        <v>1945</v>
      </c>
      <c r="B56" s="8">
        <v>1.5517101541822154</v>
      </c>
      <c r="C56" s="8">
        <v>2.5251883779327291</v>
      </c>
      <c r="D56" s="8">
        <v>1.7184177343107336</v>
      </c>
      <c r="E56" s="8">
        <v>1.1074347420355553</v>
      </c>
      <c r="F56" s="8">
        <v>0.68051070935053704</v>
      </c>
      <c r="G56" s="8">
        <v>1.6273582866792271</v>
      </c>
      <c r="H56"/>
      <c r="I56" s="27">
        <v>32.553410961695981</v>
      </c>
      <c r="J56" s="7">
        <v>5.0413934921545041</v>
      </c>
      <c r="L56" s="27">
        <v>15.84748800267349</v>
      </c>
      <c r="M56" s="23">
        <v>2.4542258560149484</v>
      </c>
    </row>
    <row r="57" spans="1:13" ht="13.25" x14ac:dyDescent="0.65">
      <c r="A57" s="24">
        <v>1946</v>
      </c>
      <c r="B57" s="8">
        <v>1.5644003443045464</v>
      </c>
      <c r="C57" s="8">
        <v>2.5608424706526907</v>
      </c>
      <c r="D57" s="8">
        <v>1.7665319331956406</v>
      </c>
      <c r="E57" s="8">
        <v>1.1292070726185832</v>
      </c>
      <c r="F57" s="8">
        <v>0.68982452198451638</v>
      </c>
      <c r="G57" s="8">
        <v>1.6369482913858042</v>
      </c>
      <c r="H57"/>
      <c r="I57" s="27">
        <v>33.282390546013538</v>
      </c>
      <c r="J57" s="7">
        <v>5.1405080327626127</v>
      </c>
      <c r="L57" s="27">
        <v>16.107445182616473</v>
      </c>
      <c r="M57" s="23">
        <v>2.4878156283290478</v>
      </c>
    </row>
    <row r="58" spans="1:13" ht="13.25" x14ac:dyDescent="0.65">
      <c r="A58" s="24">
        <v>1947</v>
      </c>
      <c r="B58" s="8">
        <v>1.5770905344268775</v>
      </c>
      <c r="C58" s="8">
        <v>2.5964965633726518</v>
      </c>
      <c r="D58" s="8">
        <v>1.8439338173356237</v>
      </c>
      <c r="E58" s="8">
        <v>1.1691997238482685</v>
      </c>
      <c r="F58" s="8">
        <v>0.71016224066959421</v>
      </c>
      <c r="G58" s="8">
        <v>1.6463839625517962</v>
      </c>
      <c r="H58"/>
      <c r="I58" s="27">
        <v>36.239648325630874</v>
      </c>
      <c r="J58" s="7">
        <v>5.3225672403984046</v>
      </c>
      <c r="L58" s="27">
        <v>17.438131893455719</v>
      </c>
      <c r="M58" s="23">
        <v>2.5611625343563054</v>
      </c>
    </row>
    <row r="59" spans="1:13" ht="13.25" x14ac:dyDescent="0.65">
      <c r="A59" s="24">
        <v>1948</v>
      </c>
      <c r="B59" s="8">
        <v>1.5897807245492084</v>
      </c>
      <c r="C59" s="8">
        <v>2.6321506560926129</v>
      </c>
      <c r="D59" s="8">
        <v>1.9001981284762122</v>
      </c>
      <c r="E59" s="8">
        <v>1.1952579995049473</v>
      </c>
      <c r="F59" s="8">
        <v>0.72191845253152298</v>
      </c>
      <c r="G59" s="8">
        <v>1.655668996011368</v>
      </c>
      <c r="H59"/>
      <c r="I59" s="27">
        <v>38.30817921674646</v>
      </c>
      <c r="J59" s="7">
        <v>5.4411927596510141</v>
      </c>
      <c r="L59" s="27">
        <v>18.330111416403764</v>
      </c>
      <c r="M59" s="23">
        <v>2.6035606902176163</v>
      </c>
    </row>
    <row r="60" spans="1:13" ht="13.25" x14ac:dyDescent="0.65">
      <c r="A60" s="24">
        <v>1949</v>
      </c>
      <c r="B60" s="8">
        <v>1.6024709146715395</v>
      </c>
      <c r="C60" s="8">
        <v>2.6678047488125745</v>
      </c>
      <c r="D60" s="8">
        <v>1.9122052883489697</v>
      </c>
      <c r="E60" s="8">
        <v>1.1932854885799389</v>
      </c>
      <c r="F60" s="8">
        <v>0.71677107899297421</v>
      </c>
      <c r="G60" s="8">
        <v>1.664806970527386</v>
      </c>
      <c r="H60"/>
      <c r="I60" s="27">
        <v>37.295428462693096</v>
      </c>
      <c r="J60" s="7">
        <v>5.4322132655435222</v>
      </c>
      <c r="L60" s="27">
        <v>17.747567056859449</v>
      </c>
      <c r="M60" s="23">
        <v>2.5849969599848768</v>
      </c>
    </row>
    <row r="61" spans="1:13" ht="13.25" x14ac:dyDescent="0.65">
      <c r="A61" s="24">
        <v>1950</v>
      </c>
      <c r="B61" s="8">
        <v>1.6151611047938708</v>
      </c>
      <c r="C61" s="8">
        <v>2.7034588415325356</v>
      </c>
      <c r="D61" s="8">
        <v>1.9878258319799325</v>
      </c>
      <c r="E61" s="8">
        <v>1.2307291366043771</v>
      </c>
      <c r="F61" s="8">
        <v>0.73528984478752946</v>
      </c>
      <c r="G61" s="8">
        <v>1.6738013523905129</v>
      </c>
      <c r="H61"/>
      <c r="I61" s="27">
        <v>39.862323458998411</v>
      </c>
      <c r="J61" s="7">
        <v>5.6026686037298203</v>
      </c>
      <c r="L61" s="27">
        <v>18.867128396805576</v>
      </c>
      <c r="M61" s="23">
        <v>2.65178390868383</v>
      </c>
    </row>
    <row r="62" spans="1:13" ht="13.25" x14ac:dyDescent="0.65">
      <c r="A62" s="24">
        <v>1951</v>
      </c>
      <c r="B62" s="8">
        <v>1.6432621899666289</v>
      </c>
      <c r="C62" s="8">
        <v>2.8625989678389874</v>
      </c>
      <c r="D62" s="8">
        <v>2.0615764887054442</v>
      </c>
      <c r="E62" s="8">
        <v>1.2545633321894363</v>
      </c>
      <c r="F62" s="8">
        <v>0.72017649411148732</v>
      </c>
      <c r="G62" s="8">
        <v>1.742022049382832</v>
      </c>
      <c r="H62"/>
      <c r="I62" s="27">
        <v>41.511708665112714</v>
      </c>
      <c r="J62" s="7">
        <v>5.7111694064880902</v>
      </c>
      <c r="L62" s="27">
        <v>18.878351696161477</v>
      </c>
      <c r="M62" s="23">
        <v>2.5972784093720516</v>
      </c>
    </row>
    <row r="63" spans="1:13" ht="13.25" x14ac:dyDescent="0.65">
      <c r="A63" s="24">
        <v>1952</v>
      </c>
      <c r="B63" s="8">
        <v>1.6730862382340488</v>
      </c>
      <c r="C63" s="8">
        <v>2.9949990279434124</v>
      </c>
      <c r="D63" s="8">
        <v>2.1087439971210071</v>
      </c>
      <c r="E63" s="8">
        <v>1.260391693465124</v>
      </c>
      <c r="F63" s="8">
        <v>0.70408837446903161</v>
      </c>
      <c r="G63" s="8">
        <v>1.7901043948007425</v>
      </c>
      <c r="H63"/>
      <c r="I63" s="27">
        <v>41.558204129033278</v>
      </c>
      <c r="J63" s="7">
        <v>5.7377019519193171</v>
      </c>
      <c r="L63" s="27">
        <v>18.391854549787439</v>
      </c>
      <c r="M63" s="23">
        <v>2.5392574573743096</v>
      </c>
    </row>
    <row r="64" spans="1:13" ht="13.25" x14ac:dyDescent="0.65">
      <c r="A64" s="24">
        <v>1953</v>
      </c>
      <c r="B64" s="8">
        <v>1.7039839347361447</v>
      </c>
      <c r="C64" s="8">
        <v>3.1458362446175911</v>
      </c>
      <c r="D64" s="8">
        <v>2.1650740312703367</v>
      </c>
      <c r="E64" s="8">
        <v>1.2705953308213493</v>
      </c>
      <c r="F64" s="8">
        <v>0.68823481672788844</v>
      </c>
      <c r="G64" s="8">
        <v>1.8461654364744413</v>
      </c>
      <c r="H64"/>
      <c r="I64" s="27">
        <v>41.816503949121028</v>
      </c>
      <c r="J64" s="7">
        <v>5.784152139015152</v>
      </c>
      <c r="L64" s="27">
        <v>17.94420473026695</v>
      </c>
      <c r="M64" s="23">
        <v>2.4820824404590396</v>
      </c>
    </row>
    <row r="65" spans="1:13" ht="13.25" x14ac:dyDescent="0.65">
      <c r="A65" s="24">
        <v>1954</v>
      </c>
      <c r="B65" s="8">
        <v>1.7366708475577857</v>
      </c>
      <c r="C65" s="8">
        <v>3.2533677290107921</v>
      </c>
      <c r="D65" s="8">
        <v>2.2241239705557994</v>
      </c>
      <c r="E65" s="8">
        <v>1.2806825045076908</v>
      </c>
      <c r="F65" s="8">
        <v>0.68363743536364974</v>
      </c>
      <c r="G65" s="8">
        <v>1.8733358330888548</v>
      </c>
      <c r="H65"/>
      <c r="I65" s="27">
        <v>42.039636469856973</v>
      </c>
      <c r="J65" s="7">
        <v>5.8300721466203687</v>
      </c>
      <c r="L65" s="27">
        <v>17.778307844158395</v>
      </c>
      <c r="M65" s="23">
        <v>2.4655022278936207</v>
      </c>
    </row>
    <row r="66" spans="1:13" ht="13.25" x14ac:dyDescent="0.65">
      <c r="A66" s="24">
        <v>1955</v>
      </c>
      <c r="B66" s="8">
        <v>1.7700638741332622</v>
      </c>
      <c r="C66" s="8">
        <v>3.4607415935554657</v>
      </c>
      <c r="D66" s="8">
        <v>2.3132124835738912</v>
      </c>
      <c r="E66" s="8">
        <v>1.3068525477401711</v>
      </c>
      <c r="F66" s="8">
        <v>0.66841525755101638</v>
      </c>
      <c r="G66" s="8">
        <v>1.9551506836159058</v>
      </c>
      <c r="H66"/>
      <c r="I66" s="27">
        <v>44.32039410553903</v>
      </c>
      <c r="J66" s="7">
        <v>5.949206467256837</v>
      </c>
      <c r="L66" s="27">
        <v>17.958517820538184</v>
      </c>
      <c r="M66" s="23">
        <v>2.4106042492735984</v>
      </c>
    </row>
    <row r="67" spans="1:13" ht="13.25" x14ac:dyDescent="0.65">
      <c r="A67" s="24">
        <v>1956</v>
      </c>
      <c r="B67" s="8">
        <v>1.8042728172154141</v>
      </c>
      <c r="C67" s="8">
        <v>3.6234794925272626</v>
      </c>
      <c r="D67" s="8">
        <v>2.3964978750560566</v>
      </c>
      <c r="E67" s="8">
        <v>1.3282347615005585</v>
      </c>
      <c r="F67" s="8">
        <v>0.66138027826523582</v>
      </c>
      <c r="G67" s="8">
        <v>2.0082769401356293</v>
      </c>
      <c r="H67"/>
      <c r="I67" s="27">
        <v>45.904192236174936</v>
      </c>
      <c r="J67" s="7">
        <v>6.0465450726010532</v>
      </c>
      <c r="L67" s="27">
        <v>18.108224021160243</v>
      </c>
      <c r="M67" s="23">
        <v>2.3852329688184093</v>
      </c>
    </row>
    <row r="68" spans="1:13" ht="13.25" x14ac:dyDescent="0.65">
      <c r="A68" s="24">
        <v>1957</v>
      </c>
      <c r="B68" s="8">
        <v>1.8410319597703282</v>
      </c>
      <c r="C68" s="8">
        <v>3.7613799200150071</v>
      </c>
      <c r="D68" s="8">
        <v>2.4627953339846065</v>
      </c>
      <c r="E68" s="8">
        <v>1.3377254647398105</v>
      </c>
      <c r="F68" s="8">
        <v>0.65475846268004223</v>
      </c>
      <c r="G68" s="8">
        <v>2.0430823593547207</v>
      </c>
      <c r="H68"/>
      <c r="I68" s="27">
        <v>46.664955266946876</v>
      </c>
      <c r="J68" s="7">
        <v>6.0897497579248938</v>
      </c>
      <c r="L68" s="27">
        <v>18.09472930110422</v>
      </c>
      <c r="M68" s="23">
        <v>2.3613517413819523</v>
      </c>
    </row>
    <row r="69" spans="1:13" ht="13.25" x14ac:dyDescent="0.65">
      <c r="A69" s="24">
        <v>1958</v>
      </c>
      <c r="B69" s="8">
        <v>1.8789551758673135</v>
      </c>
      <c r="C69" s="8">
        <v>3.8821625151954002</v>
      </c>
      <c r="D69" s="8">
        <v>2.5180580233538783</v>
      </c>
      <c r="E69" s="8">
        <v>1.3401373570242618</v>
      </c>
      <c r="F69" s="8">
        <v>0.64862251734640153</v>
      </c>
      <c r="G69" s="8">
        <v>2.0661283276241118</v>
      </c>
      <c r="H69"/>
      <c r="I69" s="27">
        <v>46.95227630832796</v>
      </c>
      <c r="J69" s="7">
        <v>6.1007294550619555</v>
      </c>
      <c r="L69" s="27">
        <v>18.003065877463175</v>
      </c>
      <c r="M69" s="23">
        <v>2.3392227792921605</v>
      </c>
    </row>
    <row r="70" spans="1:13" ht="13.25" x14ac:dyDescent="0.65">
      <c r="A70" s="24">
        <v>1959</v>
      </c>
      <c r="B70" s="8">
        <v>1.9151444760946057</v>
      </c>
      <c r="C70" s="8">
        <v>4.0600826655695821</v>
      </c>
      <c r="D70" s="8">
        <v>2.6213468886683997</v>
      </c>
      <c r="E70" s="8">
        <v>1.3687462859271555</v>
      </c>
      <c r="F70" s="8">
        <v>0.64563879718460249</v>
      </c>
      <c r="G70" s="8">
        <v>2.1199876647682321</v>
      </c>
      <c r="H70"/>
      <c r="I70" s="27">
        <v>48.117904922536368</v>
      </c>
      <c r="J70" s="7">
        <v>6.2309663552728471</v>
      </c>
      <c r="L70" s="27">
        <v>17.98127513176836</v>
      </c>
      <c r="M70" s="23">
        <v>2.3284621504474083</v>
      </c>
    </row>
    <row r="71" spans="1:13" ht="13.25" x14ac:dyDescent="0.65">
      <c r="A71" s="24">
        <v>1960</v>
      </c>
      <c r="B71" s="8">
        <v>1.9442796558247455</v>
      </c>
      <c r="C71" s="8">
        <v>4.2725610848745372</v>
      </c>
      <c r="D71" s="8">
        <v>2.7348085916402418</v>
      </c>
      <c r="E71" s="8">
        <v>1.4065921964709143</v>
      </c>
      <c r="F71" s="8">
        <v>0.64008648145999514</v>
      </c>
      <c r="G71" s="8">
        <v>2.197503364330661</v>
      </c>
      <c r="H71"/>
      <c r="I71" s="27">
        <v>49.222401325570765</v>
      </c>
      <c r="J71" s="7">
        <v>6.4032529197789128</v>
      </c>
      <c r="L71" s="27">
        <v>17.745177953089737</v>
      </c>
      <c r="M71" s="23">
        <v>2.3084380176529447</v>
      </c>
    </row>
    <row r="72" spans="1:13" ht="13.25" x14ac:dyDescent="0.65">
      <c r="A72" s="24">
        <v>1961</v>
      </c>
      <c r="B72" s="8">
        <v>1.9734852796903599</v>
      </c>
      <c r="C72" s="8">
        <v>4.4207561910629298</v>
      </c>
      <c r="D72" s="8">
        <v>2.7873018659431241</v>
      </c>
      <c r="E72" s="8">
        <v>1.4123753010108349</v>
      </c>
      <c r="F72" s="8">
        <v>0.63050341287266121</v>
      </c>
      <c r="G72" s="8">
        <v>2.240075584326906</v>
      </c>
      <c r="H72"/>
      <c r="I72" s="27">
        <v>49.340641694676755</v>
      </c>
      <c r="J72" s="7">
        <v>6.4295794422234014</v>
      </c>
      <c r="L72" s="27">
        <v>17.449750889415842</v>
      </c>
      <c r="M72" s="23">
        <v>2.2738771879939295</v>
      </c>
    </row>
    <row r="73" spans="1:13" ht="13.25" x14ac:dyDescent="0.65">
      <c r="A73" s="24">
        <v>1962</v>
      </c>
      <c r="B73" s="8">
        <v>2.0094632846045912</v>
      </c>
      <c r="C73" s="8">
        <v>4.6290680181018233</v>
      </c>
      <c r="D73" s="8">
        <v>2.8790523042652212</v>
      </c>
      <c r="E73" s="8">
        <v>1.4327469062624558</v>
      </c>
      <c r="F73" s="8">
        <v>0.62195074537828743</v>
      </c>
      <c r="G73" s="8">
        <v>2.3036340367934121</v>
      </c>
      <c r="H73"/>
      <c r="I73" s="27">
        <v>50.398655582926565</v>
      </c>
      <c r="J73" s="7">
        <v>6.522317437738594</v>
      </c>
      <c r="L73" s="27">
        <v>17.332155442170176</v>
      </c>
      <c r="M73" s="23">
        <v>2.243032445340837</v>
      </c>
    </row>
    <row r="74" spans="1:13" ht="13.25" x14ac:dyDescent="0.65">
      <c r="A74" s="24">
        <v>1963</v>
      </c>
      <c r="B74" s="8">
        <v>2.0464952526889491</v>
      </c>
      <c r="C74" s="8">
        <v>4.830254986264368</v>
      </c>
      <c r="D74" s="8">
        <v>2.9947926178916804</v>
      </c>
      <c r="E74" s="8">
        <v>1.4633762838964497</v>
      </c>
      <c r="F74" s="8">
        <v>0.62000714794723477</v>
      </c>
      <c r="G74" s="8">
        <v>2.3602571175856664</v>
      </c>
      <c r="H74"/>
      <c r="I74" s="27">
        <v>51.793731048951734</v>
      </c>
      <c r="J74" s="7">
        <v>6.6617520601244991</v>
      </c>
      <c r="L74" s="27">
        <v>17.384611581952498</v>
      </c>
      <c r="M74" s="23">
        <v>2.2360229640741482</v>
      </c>
    </row>
    <row r="75" spans="1:13" ht="13.25" x14ac:dyDescent="0.65">
      <c r="A75" s="24">
        <v>1964</v>
      </c>
      <c r="B75" s="8">
        <v>2.0852674111773819</v>
      </c>
      <c r="C75" s="8">
        <v>5.1805254053182352</v>
      </c>
      <c r="D75" s="8">
        <v>3.1576430757882141</v>
      </c>
      <c r="E75" s="8">
        <v>1.5142628992630485</v>
      </c>
      <c r="F75" s="8">
        <v>0.60952178181514816</v>
      </c>
      <c r="G75" s="8">
        <v>2.4843458338003814</v>
      </c>
      <c r="H75"/>
      <c r="I75" s="27">
        <v>53.475498513692834</v>
      </c>
      <c r="J75" s="7">
        <v>6.8934040408772432</v>
      </c>
      <c r="L75" s="27">
        <v>17.052572343597888</v>
      </c>
      <c r="M75" s="23">
        <v>2.1982080460757087</v>
      </c>
    </row>
    <row r="76" spans="1:13" ht="13.25" x14ac:dyDescent="0.65">
      <c r="A76" s="24">
        <v>1965</v>
      </c>
      <c r="B76" s="8">
        <v>2.1262287176824066</v>
      </c>
      <c r="C76" s="8">
        <v>5.4517733297106208</v>
      </c>
      <c r="D76" s="8">
        <v>3.2183727625370704</v>
      </c>
      <c r="E76" s="8">
        <v>1.51365313419579</v>
      </c>
      <c r="F76" s="8">
        <v>0.59033502823711503</v>
      </c>
      <c r="G76" s="8">
        <v>2.5640578007304242</v>
      </c>
      <c r="H76"/>
      <c r="I76" s="27">
        <v>54.771033605466499</v>
      </c>
      <c r="J76" s="7">
        <v>6.8906281972765902</v>
      </c>
      <c r="L76" s="27">
        <v>16.922722626366461</v>
      </c>
      <c r="M76" s="23">
        <v>2.1290120347901018</v>
      </c>
    </row>
    <row r="77" spans="1:13" ht="13.25" x14ac:dyDescent="0.65">
      <c r="A77" s="24">
        <v>1966</v>
      </c>
      <c r="B77" s="8">
        <v>2.1695556854533895</v>
      </c>
      <c r="C77" s="8">
        <v>5.7490197660564553</v>
      </c>
      <c r="D77" s="8">
        <v>3.3546387484670648</v>
      </c>
      <c r="E77" s="8">
        <v>1.5462330701901383</v>
      </c>
      <c r="F77" s="8">
        <v>0.58351490949355023</v>
      </c>
      <c r="G77" s="8">
        <v>2.649860432070466</v>
      </c>
      <c r="H77"/>
      <c r="I77" s="27">
        <v>55.930126416896854</v>
      </c>
      <c r="J77" s="7">
        <v>7.038942378746837</v>
      </c>
      <c r="L77" s="27">
        <v>16.721295090428242</v>
      </c>
      <c r="M77" s="23">
        <v>2.1044156375085317</v>
      </c>
    </row>
    <row r="78" spans="1:13" ht="13.25" x14ac:dyDescent="0.65">
      <c r="A78" s="24">
        <v>1967</v>
      </c>
      <c r="B78" s="8">
        <v>2.2150148821134521</v>
      </c>
      <c r="C78" s="8">
        <v>5.9629422484403429</v>
      </c>
      <c r="D78" s="8">
        <v>3.426568205734513</v>
      </c>
      <c r="E78" s="8">
        <v>1.5469729948112403</v>
      </c>
      <c r="F78" s="8">
        <v>0.57464386924605215</v>
      </c>
      <c r="G78" s="8">
        <v>2.6920551625146709</v>
      </c>
      <c r="H78"/>
      <c r="I78" s="27">
        <v>56.798875935043178</v>
      </c>
      <c r="J78" s="7">
        <v>7.0423107498371751</v>
      </c>
      <c r="L78" s="27">
        <v>16.714865904788958</v>
      </c>
      <c r="M78" s="23">
        <v>2.072422700371749</v>
      </c>
    </row>
    <row r="79" spans="1:13" ht="13.25" x14ac:dyDescent="0.65">
      <c r="A79" s="24">
        <v>1968</v>
      </c>
      <c r="B79" s="8">
        <v>2.2620876401073917</v>
      </c>
      <c r="C79" s="8">
        <v>6.2910574023355039</v>
      </c>
      <c r="D79" s="8">
        <v>3.5772702160439391</v>
      </c>
      <c r="E79" s="8">
        <v>1.5814021316495543</v>
      </c>
      <c r="F79" s="8">
        <v>0.56862781361936166</v>
      </c>
      <c r="G79" s="8">
        <v>2.7810847337624991</v>
      </c>
      <c r="H79"/>
      <c r="I79" s="27">
        <v>58.151668570916435</v>
      </c>
      <c r="J79" s="7">
        <v>7.1990430788935456</v>
      </c>
      <c r="L79" s="27">
        <v>16.565138451561708</v>
      </c>
      <c r="M79" s="23">
        <v>2.0507261141646942</v>
      </c>
    </row>
    <row r="80" spans="1:13" ht="13.25" x14ac:dyDescent="0.65">
      <c r="A80" s="24">
        <v>1969</v>
      </c>
      <c r="B80" s="8">
        <v>2.310038487562851</v>
      </c>
      <c r="C80" s="8">
        <v>6.6381955759954678</v>
      </c>
      <c r="D80" s="8">
        <v>3.6771909999581696</v>
      </c>
      <c r="E80" s="8">
        <v>1.5918310537923979</v>
      </c>
      <c r="F80" s="8">
        <v>0.55394436000881697</v>
      </c>
      <c r="G80" s="8">
        <v>2.873629860166933</v>
      </c>
      <c r="H80"/>
      <c r="I80" s="27">
        <v>59.927020177663884</v>
      </c>
      <c r="J80" s="7">
        <v>7.2465188336495121</v>
      </c>
      <c r="L80" s="27">
        <v>16.521100231225521</v>
      </c>
      <c r="M80" s="23">
        <v>1.9977710158665538</v>
      </c>
    </row>
    <row r="81" spans="1:13" ht="13.25" x14ac:dyDescent="0.65">
      <c r="A81" s="24">
        <v>1970</v>
      </c>
      <c r="B81" s="8">
        <v>2.3583039890715276</v>
      </c>
      <c r="C81" s="8">
        <v>6.9746307579075921</v>
      </c>
      <c r="D81" s="8">
        <v>3.8370465536828791</v>
      </c>
      <c r="E81" s="8">
        <v>1.6270364513921454</v>
      </c>
      <c r="F81" s="8">
        <v>0.55014332469608807</v>
      </c>
      <c r="G81" s="8">
        <v>2.9574774033493147</v>
      </c>
      <c r="H81"/>
      <c r="I81" s="27">
        <v>62.537274064716769</v>
      </c>
      <c r="J81" s="7">
        <v>7.406784947408819</v>
      </c>
      <c r="L81" s="27">
        <v>16.751921233683277</v>
      </c>
      <c r="M81" s="23">
        <v>1.9840627831878526</v>
      </c>
    </row>
    <row r="82" spans="1:13" ht="13.25" x14ac:dyDescent="0.65">
      <c r="A82" s="24">
        <v>1971</v>
      </c>
      <c r="B82" s="8">
        <v>2.4067773413267401</v>
      </c>
      <c r="C82" s="8">
        <v>7.2637058481972261</v>
      </c>
      <c r="D82" s="8">
        <v>3.9316906483875678</v>
      </c>
      <c r="E82" s="8">
        <v>1.6335913509224813</v>
      </c>
      <c r="F82" s="8">
        <v>0.54127889132010643</v>
      </c>
      <c r="G82" s="8">
        <v>3.0180215358821254</v>
      </c>
      <c r="H82"/>
      <c r="I82" s="27">
        <v>63.763458533350281</v>
      </c>
      <c r="J82" s="7">
        <v>7.4366249249529783</v>
      </c>
      <c r="L82" s="27">
        <v>16.737733212596051</v>
      </c>
      <c r="M82" s="23">
        <v>1.9520936733835135</v>
      </c>
    </row>
    <row r="83" spans="1:13" ht="13.25" x14ac:dyDescent="0.65">
      <c r="A83" s="24">
        <v>1972</v>
      </c>
      <c r="B83" s="8">
        <v>2.4555077889668988</v>
      </c>
      <c r="C83" s="8">
        <v>7.6092087991064767</v>
      </c>
      <c r="D83" s="8">
        <v>4.090086422465026</v>
      </c>
      <c r="E83" s="8">
        <v>1.665678455935927</v>
      </c>
      <c r="F83" s="8">
        <v>0.53751796414698338</v>
      </c>
      <c r="G83" s="8">
        <v>3.0988330940330213</v>
      </c>
      <c r="H83"/>
      <c r="I83" s="27">
        <v>64.936200944408426</v>
      </c>
      <c r="J83" s="7">
        <v>7.582695583797876</v>
      </c>
      <c r="L83" s="27">
        <v>16.60105934336498</v>
      </c>
      <c r="M83" s="23">
        <v>1.9385300885875054</v>
      </c>
    </row>
    <row r="84" spans="1:13" ht="13.25" x14ac:dyDescent="0.65">
      <c r="A84" s="24">
        <v>1973</v>
      </c>
      <c r="B84" s="8">
        <v>2.5042804462971229</v>
      </c>
      <c r="C84" s="8">
        <v>8.1142128590874556</v>
      </c>
      <c r="D84" s="8">
        <v>4.2772205607530962</v>
      </c>
      <c r="E84" s="8">
        <v>1.7079638852259842</v>
      </c>
      <c r="F84" s="8">
        <v>0.52712698508554079</v>
      </c>
      <c r="G84" s="8">
        <v>3.2401374498951534</v>
      </c>
      <c r="H84"/>
      <c r="I84" s="27">
        <v>67.100448446424949</v>
      </c>
      <c r="J84" s="7">
        <v>7.7751922429184095</v>
      </c>
      <c r="L84" s="27">
        <v>16.406241473551244</v>
      </c>
      <c r="M84" s="23">
        <v>1.9010555725637375</v>
      </c>
    </row>
    <row r="85" spans="1:13" ht="13.25" x14ac:dyDescent="0.65">
      <c r="A85" s="24">
        <v>1974</v>
      </c>
      <c r="B85" s="8">
        <v>2.5528976952230145</v>
      </c>
      <c r="C85" s="8">
        <v>8.3031174511024677</v>
      </c>
      <c r="D85" s="8">
        <v>4.3460576048621773</v>
      </c>
      <c r="E85" s="8">
        <v>1.7024017895407741</v>
      </c>
      <c r="F85" s="8">
        <v>0.52342480164304039</v>
      </c>
      <c r="G85" s="8">
        <v>3.2524285899271534</v>
      </c>
      <c r="H85"/>
      <c r="I85" s="27">
        <v>66.242249972384215</v>
      </c>
      <c r="J85" s="7">
        <v>7.7498718227385099</v>
      </c>
      <c r="L85" s="27">
        <v>16.135202331488145</v>
      </c>
      <c r="M85" s="23">
        <v>1.8877038439231018</v>
      </c>
    </row>
    <row r="86" spans="1:13" ht="13.25" x14ac:dyDescent="0.65">
      <c r="A86" s="24">
        <v>1975</v>
      </c>
      <c r="B86" s="8">
        <v>2.6012284298890651</v>
      </c>
      <c r="C86" s="8">
        <v>8.4297462197243025</v>
      </c>
      <c r="D86" s="8">
        <v>4.3582008020721821</v>
      </c>
      <c r="E86" s="8">
        <v>1.6754394777463073</v>
      </c>
      <c r="F86" s="8">
        <v>0.51700261057381136</v>
      </c>
      <c r="G86" s="8">
        <v>3.2406789510922756</v>
      </c>
      <c r="H86"/>
      <c r="I86" s="27">
        <v>64.59110648141862</v>
      </c>
      <c r="J86" s="7">
        <v>7.6271308448238928</v>
      </c>
      <c r="L86" s="27">
        <v>15.790061682260911</v>
      </c>
      <c r="M86" s="23">
        <v>1.864542551737983</v>
      </c>
    </row>
    <row r="87" spans="1:13" ht="13.25" x14ac:dyDescent="0.65">
      <c r="A87" s="24">
        <v>1976</v>
      </c>
      <c r="B87" s="8">
        <v>2.6491293931653557</v>
      </c>
      <c r="C87" s="8">
        <v>8.8409529681040748</v>
      </c>
      <c r="D87" s="8">
        <v>4.4920360743925452</v>
      </c>
      <c r="E87" s="8">
        <v>1.6956650309274481</v>
      </c>
      <c r="F87" s="8">
        <v>0.5080941037237362</v>
      </c>
      <c r="G87" s="8">
        <v>3.3373050749855282</v>
      </c>
      <c r="H87"/>
      <c r="I87" s="27">
        <v>66.894419635176007</v>
      </c>
      <c r="J87" s="7">
        <v>7.7192039650830679</v>
      </c>
      <c r="L87" s="27">
        <v>15.87965606475136</v>
      </c>
      <c r="M87" s="23">
        <v>1.8324144932819937</v>
      </c>
    </row>
    <row r="88" spans="1:13" ht="13.25" x14ac:dyDescent="0.65">
      <c r="A88" s="24">
        <v>1977</v>
      </c>
      <c r="B88" s="8">
        <v>2.6966894812173274</v>
      </c>
      <c r="C88" s="8">
        <v>9.1994453906746738</v>
      </c>
      <c r="D88" s="8">
        <v>4.6077077415505991</v>
      </c>
      <c r="E88" s="8">
        <v>1.7086534336428711</v>
      </c>
      <c r="F88" s="8">
        <v>0.50086799213149913</v>
      </c>
      <c r="G88" s="8">
        <v>3.4113847570325011</v>
      </c>
      <c r="H88"/>
      <c r="I88" s="27">
        <v>68.052481120930111</v>
      </c>
      <c r="J88" s="7">
        <v>7.7783312855811211</v>
      </c>
      <c r="L88" s="27">
        <v>15.803757959831021</v>
      </c>
      <c r="M88" s="23">
        <v>1.8063539042795915</v>
      </c>
    </row>
    <row r="89" spans="1:13" ht="13.25" x14ac:dyDescent="0.65">
      <c r="A89" s="24">
        <v>1978</v>
      </c>
      <c r="B89" s="8">
        <v>2.7442994534484679</v>
      </c>
      <c r="C89" s="8">
        <v>9.6039297174359834</v>
      </c>
      <c r="D89" s="8">
        <v>4.7552067718538762</v>
      </c>
      <c r="E89" s="8">
        <v>1.7327579779526305</v>
      </c>
      <c r="F89" s="8">
        <v>0.49513135890829912</v>
      </c>
      <c r="G89" s="8">
        <v>3.4995924753647976</v>
      </c>
      <c r="H89"/>
      <c r="I89" s="27">
        <v>67.85702697585927</v>
      </c>
      <c r="J89" s="7">
        <v>7.8880628013101708</v>
      </c>
      <c r="L89" s="27">
        <v>15.361175976101356</v>
      </c>
      <c r="M89" s="23">
        <v>1.78566504018179</v>
      </c>
    </row>
    <row r="90" spans="1:13" ht="13.25" x14ac:dyDescent="0.65">
      <c r="A90" s="24">
        <v>1979</v>
      </c>
      <c r="B90" s="8">
        <v>2.7925291406746644</v>
      </c>
      <c r="C90" s="8">
        <v>9.9473088829084819</v>
      </c>
      <c r="D90" s="8">
        <v>4.8712811666952014</v>
      </c>
      <c r="E90" s="8">
        <v>1.7443976128099845</v>
      </c>
      <c r="F90" s="8">
        <v>0.4897084451720467</v>
      </c>
      <c r="G90" s="8">
        <v>3.5621146214808168</v>
      </c>
      <c r="H90"/>
      <c r="I90" s="27">
        <v>70.296415934888699</v>
      </c>
      <c r="J90" s="7">
        <v>7.9410501035805154</v>
      </c>
      <c r="L90" s="27">
        <v>15.634082650194784</v>
      </c>
      <c r="M90" s="23">
        <v>1.7661075888094946</v>
      </c>
    </row>
    <row r="91" spans="1:13" ht="13.25" x14ac:dyDescent="0.65">
      <c r="A91" s="24">
        <v>1980</v>
      </c>
      <c r="B91" s="8">
        <v>2.8417942443889892</v>
      </c>
      <c r="C91" s="8">
        <v>10.148367124654284</v>
      </c>
      <c r="D91" s="8">
        <v>4.8915042211359498</v>
      </c>
      <c r="E91" s="8">
        <v>1.7212731818265985</v>
      </c>
      <c r="F91" s="8">
        <v>0.48199913947265527</v>
      </c>
      <c r="G91" s="8">
        <v>3.5711125619639197</v>
      </c>
      <c r="H91"/>
      <c r="I91" s="27">
        <v>68.387183526492024</v>
      </c>
      <c r="J91" s="7">
        <v>7.8357803739573182</v>
      </c>
      <c r="L91" s="27">
        <v>15.171142551927939</v>
      </c>
      <c r="M91" s="23">
        <v>1.7383043858335605</v>
      </c>
    </row>
    <row r="92" spans="1:13" ht="13.25" x14ac:dyDescent="0.65">
      <c r="A92" s="24">
        <v>1981</v>
      </c>
      <c r="B92" s="8">
        <v>2.8921324974961977</v>
      </c>
      <c r="C92" s="8">
        <v>10.347290163376652</v>
      </c>
      <c r="D92" s="8">
        <v>4.9202896563417466</v>
      </c>
      <c r="E92" s="8">
        <v>1.7012670272200123</v>
      </c>
      <c r="F92" s="8">
        <v>0.47551480422929387</v>
      </c>
      <c r="G92" s="8">
        <v>3.5777372483226815</v>
      </c>
      <c r="H92"/>
      <c r="I92" s="27">
        <v>65.926138615034077</v>
      </c>
      <c r="J92" s="7">
        <v>7.744706025457746</v>
      </c>
      <c r="L92" s="27">
        <v>14.598099091185125</v>
      </c>
      <c r="M92" s="23">
        <v>1.714918973973526</v>
      </c>
    </row>
    <row r="93" spans="1:13" ht="13.25" x14ac:dyDescent="0.65">
      <c r="A93" s="24">
        <v>1982</v>
      </c>
      <c r="B93" s="8">
        <v>2.9434601201569177</v>
      </c>
      <c r="C93" s="8">
        <v>10.461664587218117</v>
      </c>
      <c r="D93" s="8">
        <v>4.9661903178167437</v>
      </c>
      <c r="E93" s="8">
        <v>1.6871947011641499</v>
      </c>
      <c r="F93" s="8">
        <v>0.47470364552543104</v>
      </c>
      <c r="G93" s="8">
        <v>3.5542063286593466</v>
      </c>
      <c r="H93"/>
      <c r="I93" s="27">
        <v>65.109444121852505</v>
      </c>
      <c r="J93" s="7">
        <v>7.6806443428098818</v>
      </c>
      <c r="L93" s="27">
        <v>14.512708166883423</v>
      </c>
      <c r="M93" s="23">
        <v>1.7119935730400835</v>
      </c>
    </row>
    <row r="94" spans="1:13" ht="13.25" x14ac:dyDescent="0.65">
      <c r="A94" s="24">
        <v>1983</v>
      </c>
      <c r="B94" s="8">
        <v>2.9958474618545914</v>
      </c>
      <c r="C94" s="8">
        <v>10.759215321388083</v>
      </c>
      <c r="D94" s="8">
        <v>5.0088616280471161</v>
      </c>
      <c r="E94" s="8">
        <v>1.6719348003607499</v>
      </c>
      <c r="F94" s="8">
        <v>0.46554153610905757</v>
      </c>
      <c r="G94" s="8">
        <v>3.5913762160399014</v>
      </c>
      <c r="H94"/>
      <c r="I94" s="27">
        <v>64.367996832280852</v>
      </c>
      <c r="J94" s="7">
        <v>7.6111764439973717</v>
      </c>
      <c r="L94" s="27">
        <v>14.198949094691729</v>
      </c>
      <c r="M94" s="23">
        <v>1.6789509103511129</v>
      </c>
    </row>
    <row r="95" spans="1:13" ht="13.25" x14ac:dyDescent="0.65">
      <c r="A95" s="24">
        <v>1984</v>
      </c>
      <c r="B95" s="8">
        <v>3.0493571975835594</v>
      </c>
      <c r="C95" s="8">
        <v>11.249982838457129</v>
      </c>
      <c r="D95" s="8">
        <v>5.1982915254563764</v>
      </c>
      <c r="E95" s="8">
        <v>1.7047171546763116</v>
      </c>
      <c r="F95" s="8">
        <v>0.46207106269410919</v>
      </c>
      <c r="G95" s="8">
        <v>3.6892965007090992</v>
      </c>
      <c r="H95"/>
      <c r="I95" s="27">
        <v>65.206449960190753</v>
      </c>
      <c r="J95" s="7">
        <v>7.7604120977390973</v>
      </c>
      <c r="L95" s="27">
        <v>14.002130053672094</v>
      </c>
      <c r="M95" s="23">
        <v>1.6664348316611721</v>
      </c>
    </row>
    <row r="96" spans="1:13" ht="13.25" x14ac:dyDescent="0.65">
      <c r="A96" s="24">
        <v>1985</v>
      </c>
      <c r="B96" s="8">
        <v>3.1039784551509251</v>
      </c>
      <c r="C96" s="8">
        <v>11.637742547534387</v>
      </c>
      <c r="D96" s="8">
        <v>5.3354384375604234</v>
      </c>
      <c r="E96" s="8">
        <v>1.7189031801127617</v>
      </c>
      <c r="F96" s="8">
        <v>0.45845991314619755</v>
      </c>
      <c r="G96" s="8">
        <v>3.7492987518073875</v>
      </c>
      <c r="H96"/>
      <c r="I96" s="27">
        <v>65.904089976055033</v>
      </c>
      <c r="J96" s="7">
        <v>7.8249913759576977</v>
      </c>
      <c r="L96" s="27">
        <v>13.925456173018075</v>
      </c>
      <c r="M96" s="23">
        <v>1.6534114119432375</v>
      </c>
    </row>
    <row r="97" spans="1:13" ht="13.25" x14ac:dyDescent="0.65">
      <c r="A97" s="24">
        <v>1986</v>
      </c>
      <c r="B97" s="8">
        <v>3.159768793224961</v>
      </c>
      <c r="C97" s="8">
        <v>12.049310808803314</v>
      </c>
      <c r="D97" s="8">
        <v>5.4653213818245492</v>
      </c>
      <c r="E97" s="8">
        <v>1.7296586362720758</v>
      </c>
      <c r="F97" s="8">
        <v>0.45357958380752744</v>
      </c>
      <c r="G97" s="8">
        <v>3.8133520511497307</v>
      </c>
      <c r="H97"/>
      <c r="I97" s="27">
        <v>66.521631740396856</v>
      </c>
      <c r="J97" s="7">
        <v>7.8739536169174267</v>
      </c>
      <c r="L97" s="27">
        <v>13.819842792204575</v>
      </c>
      <c r="M97" s="23">
        <v>1.6358107624835641</v>
      </c>
    </row>
    <row r="98" spans="1:13" ht="13.25" x14ac:dyDescent="0.65">
      <c r="A98" s="24">
        <v>1987</v>
      </c>
      <c r="B98" s="8">
        <v>3.2165913500833323</v>
      </c>
      <c r="C98" s="8">
        <v>12.511308080274537</v>
      </c>
      <c r="D98" s="8">
        <v>5.5889660474158367</v>
      </c>
      <c r="E98" s="8">
        <v>1.7375430818313442</v>
      </c>
      <c r="F98" s="8">
        <v>0.44671316632570662</v>
      </c>
      <c r="G98" s="8">
        <v>3.8896169014290267</v>
      </c>
      <c r="H98"/>
      <c r="I98" s="27">
        <v>66.879994581739268</v>
      </c>
      <c r="J98" s="7">
        <v>7.909846108838603</v>
      </c>
      <c r="L98" s="27">
        <v>13.621863095101444</v>
      </c>
      <c r="M98" s="23">
        <v>1.611047391252918</v>
      </c>
    </row>
    <row r="99" spans="1:13" ht="13.25" x14ac:dyDescent="0.65">
      <c r="A99" s="24">
        <v>1988</v>
      </c>
      <c r="B99" s="8">
        <v>3.2738801321547024</v>
      </c>
      <c r="C99" s="8">
        <v>13.048066532958766</v>
      </c>
      <c r="D99" s="8">
        <v>5.7548206616772477</v>
      </c>
      <c r="E99" s="8">
        <v>1.7577982178259275</v>
      </c>
      <c r="F99" s="8">
        <v>0.44104777111159404</v>
      </c>
      <c r="G99" s="8">
        <v>3.9855052739426928</v>
      </c>
      <c r="H99"/>
      <c r="I99" s="27">
        <v>67.530562572604197</v>
      </c>
      <c r="J99" s="7">
        <v>8.0020538994286863</v>
      </c>
      <c r="L99" s="27">
        <v>13.423448163476154</v>
      </c>
      <c r="M99" s="23">
        <v>1.5906154432644899</v>
      </c>
    </row>
    <row r="100" spans="1:13" ht="13.25" x14ac:dyDescent="0.65">
      <c r="A100" s="24">
        <v>1989</v>
      </c>
      <c r="B100" s="8">
        <v>3.3309143770041607</v>
      </c>
      <c r="C100" s="8">
        <v>13.465138318266026</v>
      </c>
      <c r="D100" s="8">
        <v>5.803035356899791</v>
      </c>
      <c r="E100" s="8">
        <v>1.7421748805560913</v>
      </c>
      <c r="F100" s="8">
        <v>0.43096737810912267</v>
      </c>
      <c r="G100" s="8">
        <v>4.0424750666742248</v>
      </c>
      <c r="H100"/>
      <c r="I100" s="27">
        <v>68.027983106401052</v>
      </c>
      <c r="J100" s="7">
        <v>7.930931522779102</v>
      </c>
      <c r="L100" s="27">
        <v>13.331755977112248</v>
      </c>
      <c r="M100" s="23">
        <v>1.5542610394240739</v>
      </c>
    </row>
    <row r="101" spans="1:13" ht="13.25" x14ac:dyDescent="0.65">
      <c r="A101" s="24">
        <v>1990</v>
      </c>
      <c r="B101" s="8">
        <v>3.3871671030466444</v>
      </c>
      <c r="C101" s="8">
        <v>13.747714520796487</v>
      </c>
      <c r="D101" s="8">
        <v>5.8448662914455145</v>
      </c>
      <c r="E101" s="8">
        <v>1.7255913610486624</v>
      </c>
      <c r="F101" s="8">
        <v>0.425151852157233</v>
      </c>
      <c r="G101" s="8">
        <v>4.0587647737930839</v>
      </c>
      <c r="H101"/>
      <c r="I101" s="27">
        <v>67.792465865457231</v>
      </c>
      <c r="J101" s="7">
        <v>7.8554380926487655</v>
      </c>
      <c r="L101" s="27">
        <v>13.232279300473749</v>
      </c>
      <c r="M101" s="23">
        <v>1.5332876528757931</v>
      </c>
    </row>
    <row r="102" spans="1:13" ht="13.25" x14ac:dyDescent="0.65">
      <c r="A102" s="24">
        <v>1991</v>
      </c>
      <c r="B102" s="8">
        <v>3.4424125523943765</v>
      </c>
      <c r="C102" s="8">
        <v>13.93018713827356</v>
      </c>
      <c r="D102" s="8">
        <v>5.9880251502647885</v>
      </c>
      <c r="E102" s="8">
        <v>1.73948504402815</v>
      </c>
      <c r="F102" s="8">
        <v>0.42985963439159625</v>
      </c>
      <c r="G102" s="8">
        <v>4.0466350056109315</v>
      </c>
      <c r="H102"/>
      <c r="I102" s="27">
        <v>66.878561773120524</v>
      </c>
      <c r="J102" s="7">
        <v>7.9186865354654508</v>
      </c>
      <c r="L102" s="27">
        <v>13.093025130047884</v>
      </c>
      <c r="M102" s="23">
        <v>1.5502660203361507</v>
      </c>
    </row>
    <row r="103" spans="1:13" ht="13.25" x14ac:dyDescent="0.65">
      <c r="A103" s="24">
        <v>1992</v>
      </c>
      <c r="B103" s="8">
        <v>3.5034132290284994</v>
      </c>
      <c r="C103" s="8">
        <v>14.225603515775388</v>
      </c>
      <c r="D103" s="8">
        <v>5.9311036282917531</v>
      </c>
      <c r="E103" s="8">
        <v>1.6929500577174148</v>
      </c>
      <c r="F103" s="8">
        <v>0.41693159954264819</v>
      </c>
      <c r="G103" s="8">
        <v>4.0604983157297045</v>
      </c>
      <c r="H103"/>
      <c r="I103" s="27">
        <v>66.765038308736706</v>
      </c>
      <c r="J103" s="7">
        <v>7.7068445476357903</v>
      </c>
      <c r="L103" s="27">
        <v>13.026174099323654</v>
      </c>
      <c r="M103" s="23">
        <v>1.5036417468930019</v>
      </c>
    </row>
    <row r="104" spans="1:13" ht="13.25" x14ac:dyDescent="0.65">
      <c r="A104" s="24">
        <v>1993</v>
      </c>
      <c r="B104" s="8">
        <v>3.5569626162844985</v>
      </c>
      <c r="C104" s="8">
        <v>14.537843561174286</v>
      </c>
      <c r="D104" s="8">
        <v>6.085191633095409</v>
      </c>
      <c r="E104" s="8">
        <v>1.7107831286267006</v>
      </c>
      <c r="F104" s="8">
        <v>0.41857594680320531</v>
      </c>
      <c r="G104" s="8">
        <v>4.0871510694593987</v>
      </c>
      <c r="H104"/>
      <c r="I104" s="27">
        <v>65.880589124700194</v>
      </c>
      <c r="J104" s="7">
        <v>7.7880263312792701</v>
      </c>
      <c r="L104" s="27">
        <v>12.769794084024632</v>
      </c>
      <c r="M104" s="23">
        <v>1.5095719982581539</v>
      </c>
    </row>
    <row r="105" spans="1:13" ht="13.25" x14ac:dyDescent="0.65">
      <c r="A105" s="24">
        <v>1994</v>
      </c>
      <c r="B105" s="8">
        <v>3.6098334507956529</v>
      </c>
      <c r="C105" s="8">
        <v>15.04671897008353</v>
      </c>
      <c r="D105" s="8">
        <v>6.2219463598091744</v>
      </c>
      <c r="E105" s="8">
        <v>1.723610367242228</v>
      </c>
      <c r="F105" s="8">
        <v>0.4135085112029997</v>
      </c>
      <c r="G105" s="8">
        <v>4.1682585014461111</v>
      </c>
      <c r="H105"/>
      <c r="I105" s="27">
        <v>66.513054760168117</v>
      </c>
      <c r="J105" s="7">
        <v>7.8464199817798574</v>
      </c>
      <c r="L105" s="27">
        <v>12.641521864393109</v>
      </c>
      <c r="M105" s="23">
        <v>1.4912965599691894</v>
      </c>
    </row>
    <row r="106" spans="1:13" ht="13.25" x14ac:dyDescent="0.65">
      <c r="A106" s="24">
        <v>1995</v>
      </c>
      <c r="B106" s="8">
        <v>3.6621619547435378</v>
      </c>
      <c r="C106" s="8">
        <v>15.677148560693423</v>
      </c>
      <c r="D106" s="8">
        <v>6.3844770264605586</v>
      </c>
      <c r="E106" s="8">
        <v>1.7433628292137247</v>
      </c>
      <c r="F106" s="8">
        <v>0.4072473384903717</v>
      </c>
      <c r="G106" s="8">
        <v>4.2808452368926702</v>
      </c>
      <c r="H106"/>
      <c r="I106" s="27">
        <v>67.448005973480974</v>
      </c>
      <c r="J106" s="7">
        <v>7.936339441100861</v>
      </c>
      <c r="L106" s="27">
        <v>12.482072419611486</v>
      </c>
      <c r="M106" s="23">
        <v>1.4687159719649652</v>
      </c>
    </row>
    <row r="107" spans="1:13" ht="13.25" x14ac:dyDescent="0.65">
      <c r="A107" s="24">
        <v>1996</v>
      </c>
      <c r="B107" s="8">
        <v>3.7139442908836022</v>
      </c>
      <c r="C107" s="8">
        <v>16.208257935108715</v>
      </c>
      <c r="D107" s="8">
        <v>6.556972237966467</v>
      </c>
      <c r="E107" s="8">
        <v>1.7655009672766164</v>
      </c>
      <c r="F107" s="8">
        <v>0.40454515619247439</v>
      </c>
      <c r="G107" s="8">
        <v>4.3641629129694159</v>
      </c>
      <c r="H107"/>
      <c r="I107" s="27">
        <v>68.753733876429962</v>
      </c>
      <c r="J107" s="7">
        <v>8.0371192531496849</v>
      </c>
      <c r="L107" s="27">
        <v>12.48080060845235</v>
      </c>
      <c r="M107" s="23">
        <v>1.4589706945254746</v>
      </c>
    </row>
    <row r="108" spans="1:13" ht="13.25" x14ac:dyDescent="0.65">
      <c r="A108" s="24">
        <v>1997</v>
      </c>
      <c r="B108" s="8">
        <v>3.7651420867703318</v>
      </c>
      <c r="C108" s="8">
        <v>16.842234771451736</v>
      </c>
      <c r="D108" s="8">
        <v>6.6675479875913535</v>
      </c>
      <c r="E108" s="8">
        <v>1.7708622500646849</v>
      </c>
      <c r="F108" s="8">
        <v>0.39588261760209609</v>
      </c>
      <c r="G108" s="8">
        <v>4.473200315767814</v>
      </c>
      <c r="H108"/>
      <c r="I108" s="27">
        <v>69.456144974035951</v>
      </c>
      <c r="J108" s="7">
        <v>8.0615255094566596</v>
      </c>
      <c r="L108" s="27">
        <v>12.30097224614277</v>
      </c>
      <c r="M108" s="23">
        <v>1.4277297075797679</v>
      </c>
    </row>
    <row r="109" spans="1:13" ht="13.25" x14ac:dyDescent="0.65">
      <c r="A109" s="24">
        <v>1998</v>
      </c>
      <c r="B109" s="8">
        <v>3.8157962730122752</v>
      </c>
      <c r="C109" s="8">
        <v>17.126824413085487</v>
      </c>
      <c r="D109" s="8">
        <v>6.7111638487279706</v>
      </c>
      <c r="E109" s="8">
        <v>1.7587846332870456</v>
      </c>
      <c r="F109" s="8">
        <v>0.39185103361020085</v>
      </c>
      <c r="G109" s="8">
        <v>4.4884011586827173</v>
      </c>
      <c r="H109"/>
      <c r="I109" s="27">
        <v>68.013115801820945</v>
      </c>
      <c r="J109" s="7">
        <v>8.0065443748467686</v>
      </c>
      <c r="L109" s="27">
        <v>12.004611668168709</v>
      </c>
      <c r="M109" s="23">
        <v>1.4131900132918584</v>
      </c>
    </row>
    <row r="110" spans="1:13" ht="13.25" x14ac:dyDescent="0.65">
      <c r="A110" s="24">
        <v>1999</v>
      </c>
      <c r="B110" s="8">
        <v>3.8659797572559098</v>
      </c>
      <c r="C110" s="8">
        <v>17.731693480892201</v>
      </c>
      <c r="D110" s="8">
        <v>6.8407272209548706</v>
      </c>
      <c r="E110" s="8">
        <v>1.7694679358100029</v>
      </c>
      <c r="F110" s="8">
        <v>0.38579096961756565</v>
      </c>
      <c r="G110" s="8">
        <v>4.5865976011934011</v>
      </c>
      <c r="H110"/>
      <c r="I110" s="27">
        <v>66.998603393729397</v>
      </c>
      <c r="J110" s="7">
        <v>8.0551781496143526</v>
      </c>
      <c r="L110" s="27">
        <v>11.57236760119431</v>
      </c>
      <c r="M110" s="23">
        <v>1.3913347132422462</v>
      </c>
    </row>
    <row r="111" spans="1:13" ht="13.25" x14ac:dyDescent="0.65">
      <c r="A111" s="24">
        <v>2000</v>
      </c>
      <c r="B111" s="8">
        <v>3.9157603308216435</v>
      </c>
      <c r="C111" s="8">
        <v>18.588431585697812</v>
      </c>
      <c r="D111" s="8">
        <v>6.9819047967093528</v>
      </c>
      <c r="E111" s="8">
        <v>1.7830265917332946</v>
      </c>
      <c r="F111" s="8">
        <v>0.37560483597127814</v>
      </c>
      <c r="G111" s="8">
        <v>4.74708103031357</v>
      </c>
      <c r="H111"/>
      <c r="I111" s="27">
        <v>67.796985169069089</v>
      </c>
      <c r="J111" s="7">
        <v>8.1169014432220674</v>
      </c>
      <c r="L111" s="27">
        <v>11.314382259807259</v>
      </c>
      <c r="M111" s="23">
        <v>1.3545989613664218</v>
      </c>
    </row>
    <row r="112" spans="1:13" ht="13.25" x14ac:dyDescent="0.65">
      <c r="A112" s="24">
        <v>2001</v>
      </c>
      <c r="B112" s="8">
        <v>3.9651546217692002</v>
      </c>
      <c r="C112" s="8">
        <v>19.120970525416499</v>
      </c>
      <c r="D112" s="8">
        <v>7.128850548054805</v>
      </c>
      <c r="E112" s="8">
        <v>1.7978745416172457</v>
      </c>
      <c r="F112" s="8">
        <v>0.37282890732867346</v>
      </c>
      <c r="G112" s="8">
        <v>4.8222509206677477</v>
      </c>
      <c r="H112"/>
      <c r="I112" s="27">
        <v>67.961143018235347</v>
      </c>
      <c r="J112" s="7">
        <v>8.1844940110506688</v>
      </c>
      <c r="L112" s="27">
        <v>11.164980795076177</v>
      </c>
      <c r="M112" s="23">
        <v>1.3445877216379025</v>
      </c>
    </row>
    <row r="113" spans="1:13" ht="13.25" x14ac:dyDescent="0.65">
      <c r="A113" s="24">
        <v>2002</v>
      </c>
      <c r="B113" s="8">
        <v>4.0142163515222986</v>
      </c>
      <c r="C113" s="8">
        <v>19.770460459063319</v>
      </c>
      <c r="D113" s="8">
        <v>7.3075118718845316</v>
      </c>
      <c r="E113" s="8">
        <v>1.8204080776845342</v>
      </c>
      <c r="F113" s="8">
        <v>0.36961768730755934</v>
      </c>
      <c r="G113" s="8">
        <v>4.9251108380259154</v>
      </c>
      <c r="H113"/>
      <c r="I113" s="27">
        <v>68.007171962295814</v>
      </c>
      <c r="J113" s="7">
        <v>8.2870737999744382</v>
      </c>
      <c r="L113" s="27">
        <v>10.939206415871285</v>
      </c>
      <c r="M113" s="23">
        <v>1.3330066265913709</v>
      </c>
    </row>
    <row r="114" spans="1:13" ht="13.25" x14ac:dyDescent="0.65">
      <c r="A114" s="24">
        <v>2003</v>
      </c>
      <c r="B114" s="8">
        <v>4.0631245914933407</v>
      </c>
      <c r="C114" s="8">
        <v>20.676512465566518</v>
      </c>
      <c r="D114" s="8">
        <v>7.6275897089705449</v>
      </c>
      <c r="E114" s="8">
        <v>1.8772719214517462</v>
      </c>
      <c r="F114" s="8">
        <v>0.36890117333245132</v>
      </c>
      <c r="G114" s="8">
        <v>5.0888206846660289</v>
      </c>
      <c r="H114"/>
      <c r="I114" s="27">
        <v>69.755907754860118</v>
      </c>
      <c r="J114" s="7">
        <v>8.5459360164333376</v>
      </c>
      <c r="L114" s="27">
        <v>10.859528198322344</v>
      </c>
      <c r="M114" s="23">
        <v>1.3304225568629395</v>
      </c>
    </row>
    <row r="115" spans="1:13" ht="13.25" x14ac:dyDescent="0.65">
      <c r="A115" s="24">
        <v>2004</v>
      </c>
      <c r="B115" s="8">
        <v>4.1120897505918954</v>
      </c>
      <c r="C115" s="8">
        <v>21.761075048284557</v>
      </c>
      <c r="D115" s="8">
        <v>8.039429925938796</v>
      </c>
      <c r="E115" s="8">
        <v>1.9550716092180618</v>
      </c>
      <c r="F115" s="8">
        <v>0.36944084371293734</v>
      </c>
      <c r="G115" s="8">
        <v>5.291974730160562</v>
      </c>
      <c r="H115"/>
      <c r="I115" s="27">
        <v>72.007251817156302</v>
      </c>
      <c r="J115" s="7">
        <v>8.9001048217896024</v>
      </c>
      <c r="L115" s="27">
        <v>10.779672956924095</v>
      </c>
      <c r="M115" s="23">
        <v>1.3323688495271333</v>
      </c>
    </row>
    <row r="116" spans="1:13" ht="13.25" x14ac:dyDescent="0.65">
      <c r="A116" s="24">
        <v>2005</v>
      </c>
      <c r="B116" s="8">
        <v>4.1612653186000195</v>
      </c>
      <c r="C116" s="8">
        <v>22.790810329348297</v>
      </c>
      <c r="D116" s="8">
        <v>8.3771776962282249</v>
      </c>
      <c r="E116" s="8">
        <v>2.0131323178995397</v>
      </c>
      <c r="F116" s="8">
        <v>0.36756822487530089</v>
      </c>
      <c r="G116" s="8">
        <v>5.476894306036665</v>
      </c>
      <c r="H116"/>
      <c r="I116" s="27">
        <v>73.688849039716771</v>
      </c>
      <c r="J116" s="7">
        <v>9.1644155461927959</v>
      </c>
      <c r="L116" s="27">
        <v>10.658952426388394</v>
      </c>
      <c r="M116" s="23">
        <v>1.3256153488009299</v>
      </c>
    </row>
    <row r="117" spans="1:13" ht="13.25" x14ac:dyDescent="0.65">
      <c r="A117" s="24">
        <v>2006</v>
      </c>
      <c r="B117" s="27">
        <v>4.2107114123490206</v>
      </c>
      <c r="C117" s="8">
        <v>23.985505513457863</v>
      </c>
      <c r="D117" s="8">
        <v>8.7974810951833433</v>
      </c>
      <c r="E117" s="8">
        <v>2.0893099131378161</v>
      </c>
      <c r="F117" s="8">
        <v>0.36678322623833065</v>
      </c>
      <c r="G117" s="8">
        <v>5.6963071473181595</v>
      </c>
      <c r="I117" s="8">
        <v>74.738101912685138</v>
      </c>
      <c r="J117" s="8">
        <v>9.5112000729056998</v>
      </c>
      <c r="K117" s="8"/>
      <c r="L117" s="8">
        <v>10.394312654901883</v>
      </c>
      <c r="M117" s="8">
        <v>1.3227842927641666</v>
      </c>
    </row>
    <row r="118" spans="1:13" x14ac:dyDescent="0.6">
      <c r="A118" s="24">
        <v>2007</v>
      </c>
      <c r="B118" s="42">
        <v>4.2603858221488311</v>
      </c>
      <c r="C118" s="8">
        <v>25.034557150066171</v>
      </c>
      <c r="D118" s="8">
        <v>9.1699033966457968</v>
      </c>
      <c r="E118" s="8">
        <v>2.1523645461811078</v>
      </c>
      <c r="F118" s="8">
        <v>0.36628981857670123</v>
      </c>
      <c r="G118" s="8">
        <v>5.876124415755231</v>
      </c>
      <c r="I118" s="8">
        <v>75.413820702058004</v>
      </c>
      <c r="J118" s="8">
        <v>9.7982447217762481</v>
      </c>
      <c r="K118" s="8"/>
      <c r="L118" s="8">
        <v>10.167333567577151</v>
      </c>
      <c r="M118" s="8">
        <v>1.3210048441469913</v>
      </c>
    </row>
    <row r="119" spans="1:13" x14ac:dyDescent="0.6">
      <c r="A119" s="24">
        <v>2008</v>
      </c>
      <c r="B119" s="8">
        <v>4.3102520941762137</v>
      </c>
      <c r="C119" s="8">
        <v>25.826377756475601</v>
      </c>
      <c r="D119" s="8">
        <v>9.3899754108742055</v>
      </c>
      <c r="E119" s="8">
        <v>2.1785211643563605</v>
      </c>
      <c r="F119" s="8">
        <v>0.36358081258684455</v>
      </c>
      <c r="G119" s="8">
        <v>5.9918485490375026</v>
      </c>
      <c r="I119" s="8">
        <v>76.840844325539805</v>
      </c>
      <c r="J119" s="8">
        <v>9.9173179273026584</v>
      </c>
      <c r="K119" s="8"/>
      <c r="L119" s="8">
        <v>10.159642150848855</v>
      </c>
      <c r="M119" s="8">
        <v>1.3112349574236055</v>
      </c>
    </row>
    <row r="120" spans="1:13" x14ac:dyDescent="0.6">
      <c r="A120" s="24">
        <v>2009</v>
      </c>
      <c r="B120" s="8">
        <v>4.360220692724968</v>
      </c>
      <c r="C120" s="8">
        <v>25.661073513157032</v>
      </c>
      <c r="D120" s="8">
        <v>9.5728723895452017</v>
      </c>
      <c r="E120" s="8">
        <v>2.1955018023554511</v>
      </c>
      <c r="F120" s="8">
        <v>0.37305034743137166</v>
      </c>
      <c r="G120" s="8">
        <v>5.8852694213328602</v>
      </c>
      <c r="I120" s="8">
        <v>75.80122939635288</v>
      </c>
      <c r="J120" s="8">
        <v>9.9946191665105744</v>
      </c>
      <c r="K120" s="8"/>
      <c r="L120" s="8">
        <v>10.203684242947279</v>
      </c>
      <c r="M120" s="8">
        <v>1.3453863336481664</v>
      </c>
    </row>
    <row r="121" spans="1:13" x14ac:dyDescent="0.6">
      <c r="B121" s="28"/>
    </row>
    <row r="122" spans="1:13" x14ac:dyDescent="0.6">
      <c r="A122" s="24" t="s">
        <v>54</v>
      </c>
      <c r="B122" s="28"/>
    </row>
    <row r="123" spans="1:13" x14ac:dyDescent="0.6">
      <c r="A123" s="25" t="s">
        <v>83</v>
      </c>
      <c r="B123" s="28"/>
    </row>
    <row r="124" spans="1:13" x14ac:dyDescent="0.6">
      <c r="B124" s="29"/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EF0B-64B4-47F1-9A9A-E76CA0510F4C}">
  <dimension ref="A1"/>
  <sheetViews>
    <sheetView showGridLines="0" workbookViewId="0">
      <pane xSplit="15" ySplit="46" topLeftCell="P68" activePane="bottomRight" state="frozen"/>
      <selection pane="topRight" activeCell="P1" sqref="P1"/>
      <selection pane="bottomLeft" activeCell="A47" sqref="A47"/>
      <selection pane="bottomRight" activeCell="G11" sqref="G11"/>
    </sheetView>
  </sheetViews>
  <sheetFormatPr defaultColWidth="11.40625" defaultRowHeight="13" x14ac:dyDescent="0.6"/>
  <cols>
    <col min="1" max="1" width="15.40625" style="12" customWidth="1"/>
    <col min="2" max="16384" width="11.40625" style="12"/>
  </cols>
  <sheetData>
    <row r="1" ht="11.25" customHeight="1" x14ac:dyDescent="0.6"/>
  </sheetData>
  <phoneticPr fontId="4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croExch.Document.7" dvAspect="DVASPECT_ICON" shapeId="8207" r:id="rId4">
          <objectPr defaultSize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2</xdr:col>
                <xdr:colOff>158750</xdr:colOff>
                <xdr:row>7</xdr:row>
                <xdr:rowOff>38100</xdr:rowOff>
              </to>
            </anchor>
          </objectPr>
        </oleObject>
      </mc:Choice>
      <mc:Fallback>
        <oleObject progId="AcroExch.Document.7" dvAspect="DVASPECT_ICON" shapeId="820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Material flow data</vt:lpstr>
      <vt:lpstr>Energy flow data</vt:lpstr>
      <vt:lpstr>Figure 2 </vt:lpstr>
      <vt:lpstr>Technical notes</vt:lpstr>
    </vt:vector>
  </TitlesOfParts>
  <Company>Universität Klagenfurt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fkrausma</dc:creator>
  <cp:lastModifiedBy>Rasmus Kehlet Skjødt Berg</cp:lastModifiedBy>
  <dcterms:created xsi:type="dcterms:W3CDTF">2008-01-17T08:29:39Z</dcterms:created>
  <dcterms:modified xsi:type="dcterms:W3CDTF">2026-09-17T16:36:11Z</dcterms:modified>
</cp:coreProperties>
</file>